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excel\AI_CommentTool_Hasty_Spider\"/>
    </mc:Choice>
  </mc:AlternateContent>
  <xr:revisionPtr revIDLastSave="0" documentId="13_ncr:1_{FB902D06-E3AA-4CD3-ACBD-5CEE06785E87}" xr6:coauthVersionLast="47" xr6:coauthVersionMax="47" xr10:uidLastSave="{00000000-0000-0000-0000-000000000000}"/>
  <bookViews>
    <workbookView xWindow="-110" yWindow="-110" windowWidth="19420" windowHeight="11500" tabRatio="932" xr2:uid="{00000000-000D-0000-FFFF-FFFF00000000}"/>
  </bookViews>
  <sheets>
    <sheet name="Tiếng việ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2" l="1"/>
  <c r="I92" i="2" s="1"/>
  <c r="G91" i="2"/>
  <c r="I91" i="2" s="1"/>
  <c r="G90" i="2"/>
  <c r="I90" i="2" s="1"/>
  <c r="G89" i="2"/>
  <c r="I89" i="2" s="1"/>
  <c r="G88" i="2"/>
  <c r="I88" i="2" s="1"/>
  <c r="G87" i="2"/>
  <c r="I87" i="2" s="1"/>
  <c r="G86" i="2"/>
  <c r="I86" i="2" s="1"/>
  <c r="G85" i="2"/>
  <c r="I85" i="2" s="1"/>
  <c r="G84" i="2"/>
  <c r="I84" i="2" s="1"/>
  <c r="G83" i="2"/>
  <c r="I83" i="2" s="1"/>
  <c r="G82" i="2"/>
  <c r="I82" i="2" s="1"/>
  <c r="G81" i="2"/>
  <c r="I81" i="2" s="1"/>
  <c r="G80" i="2"/>
  <c r="I80" i="2" s="1"/>
  <c r="G79" i="2"/>
  <c r="I79" i="2" s="1"/>
  <c r="G78" i="2"/>
  <c r="I78" i="2" s="1"/>
  <c r="G77" i="2"/>
  <c r="I77" i="2" s="1"/>
  <c r="G76" i="2"/>
  <c r="I76" i="2" s="1"/>
  <c r="G75" i="2"/>
  <c r="I75" i="2" s="1"/>
  <c r="G74" i="2"/>
  <c r="I74" i="2" s="1"/>
  <c r="G73" i="2"/>
  <c r="I73" i="2" s="1"/>
  <c r="G72" i="2"/>
  <c r="I72" i="2" s="1"/>
  <c r="G71" i="2"/>
  <c r="I71" i="2" s="1"/>
  <c r="G70" i="2"/>
  <c r="I70" i="2" s="1"/>
  <c r="G69" i="2"/>
  <c r="I69" i="2" s="1"/>
  <c r="G68" i="2"/>
  <c r="I68" i="2" s="1"/>
  <c r="G67" i="2"/>
  <c r="I67" i="2" s="1"/>
  <c r="G66" i="2"/>
  <c r="I66" i="2" s="1"/>
  <c r="G65" i="2"/>
  <c r="I65" i="2" s="1"/>
  <c r="G64" i="2"/>
  <c r="I64" i="2" s="1"/>
  <c r="G63" i="2"/>
  <c r="I63" i="2" s="1"/>
  <c r="G62" i="2"/>
  <c r="I62" i="2" s="1"/>
  <c r="G61" i="2"/>
  <c r="I61" i="2" s="1"/>
  <c r="G60" i="2"/>
  <c r="I60" i="2" s="1"/>
  <c r="G59" i="2"/>
  <c r="I59" i="2" s="1"/>
  <c r="G58" i="2"/>
  <c r="I58" i="2" s="1"/>
  <c r="G57" i="2"/>
  <c r="I57" i="2" s="1"/>
  <c r="G56" i="2"/>
  <c r="I56" i="2" s="1"/>
  <c r="G55" i="2"/>
  <c r="I55" i="2" s="1"/>
  <c r="G54" i="2"/>
  <c r="I54" i="2" s="1"/>
  <c r="G53" i="2"/>
  <c r="I53" i="2" s="1"/>
  <c r="G52" i="2"/>
  <c r="I52" i="2" s="1"/>
  <c r="G51" i="2"/>
  <c r="I51" i="2" s="1"/>
  <c r="G50" i="2"/>
  <c r="I50" i="2" s="1"/>
  <c r="G49" i="2"/>
  <c r="I49" i="2" s="1"/>
  <c r="G48" i="2"/>
  <c r="I48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H34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3" i="2"/>
  <c r="J4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5" i="2"/>
  <c r="H36" i="2"/>
  <c r="H37" i="2"/>
  <c r="H38" i="2"/>
  <c r="H39" i="2"/>
  <c r="H40" i="2"/>
  <c r="H41" i="2"/>
  <c r="H42" i="2"/>
  <c r="H43" i="2"/>
  <c r="H44" i="2"/>
  <c r="H45" i="2"/>
  <c r="H46" i="2"/>
  <c r="H2" i="2"/>
</calcChain>
</file>

<file path=xl/sharedStrings.xml><?xml version="1.0" encoding="utf-8"?>
<sst xmlns="http://schemas.openxmlformats.org/spreadsheetml/2006/main" count="610" uniqueCount="207">
  <si>
    <t>STT</t>
  </si>
  <si>
    <t>Mã học sinh</t>
  </si>
  <si>
    <t>Họ và tên</t>
  </si>
  <si>
    <t>Ngày sinh</t>
  </si>
  <si>
    <t>Mức đạt được</t>
  </si>
  <si>
    <t>Đọc thành tiếng</t>
  </si>
  <si>
    <t>Đọc thầm</t>
  </si>
  <si>
    <t>Đọc</t>
  </si>
  <si>
    <t>Viết</t>
  </si>
  <si>
    <t>Điểm KTĐK</t>
  </si>
  <si>
    <t>Mã nhận xét</t>
  </si>
  <si>
    <t>Nội dung nhận xét</t>
  </si>
  <si>
    <t>Thời điểm đánh giá</t>
  </si>
  <si>
    <t>1</t>
  </si>
  <si>
    <t>7965659376</t>
  </si>
  <si>
    <t>Trần Chí An</t>
  </si>
  <si>
    <t>26/03/2015</t>
  </si>
  <si>
    <t>CK1</t>
  </si>
  <si>
    <t>2</t>
  </si>
  <si>
    <t>8233517376</t>
  </si>
  <si>
    <t>Nguyễn Vân Anh</t>
  </si>
  <si>
    <t>10/10/2015</t>
  </si>
  <si>
    <t>3</t>
  </si>
  <si>
    <t>7965659377</t>
  </si>
  <si>
    <t>Trần Ngọc Phương Anh</t>
  </si>
  <si>
    <t>08/03/2015</t>
  </si>
  <si>
    <t>4</t>
  </si>
  <si>
    <t>8265659276</t>
  </si>
  <si>
    <t>Võ Gia Bảo</t>
  </si>
  <si>
    <t>05/08/2015</t>
  </si>
  <si>
    <t>5</t>
  </si>
  <si>
    <t>7965659378</t>
  </si>
  <si>
    <t>Trần Chí Bình</t>
  </si>
  <si>
    <t>6</t>
  </si>
  <si>
    <t>7965659362</t>
  </si>
  <si>
    <t>Hồ Ngọc Bảo Châu</t>
  </si>
  <si>
    <t>27/08/2015</t>
  </si>
  <si>
    <t>7</t>
  </si>
  <si>
    <t>5135526791</t>
  </si>
  <si>
    <t>Nguyễn Tiến Dũng</t>
  </si>
  <si>
    <t>13/07/2015</t>
  </si>
  <si>
    <t>8</t>
  </si>
  <si>
    <t>0165659363</t>
  </si>
  <si>
    <t>Lê Nguyễn Anh Đức</t>
  </si>
  <si>
    <t>04/07/2015</t>
  </si>
  <si>
    <t>9</t>
  </si>
  <si>
    <t>7965659379</t>
  </si>
  <si>
    <t>Phạm Minh Đức</t>
  </si>
  <si>
    <t>04/10/2015</t>
  </si>
  <si>
    <t>10</t>
  </si>
  <si>
    <t>7969576467</t>
  </si>
  <si>
    <t>NGUYỄN TRẦN MINH HẢI</t>
  </si>
  <si>
    <t>21/01/2013</t>
  </si>
  <si>
    <t>11</t>
  </si>
  <si>
    <t>2669576466</t>
  </si>
  <si>
    <t>NGUYỄN HỒNG HẠNH</t>
  </si>
  <si>
    <t>29/05/2015</t>
  </si>
  <si>
    <t>12</t>
  </si>
  <si>
    <t>7943150097</t>
  </si>
  <si>
    <t>Lê Anh Hào</t>
  </si>
  <si>
    <t>30/04/2015</t>
  </si>
  <si>
    <t>13</t>
  </si>
  <si>
    <t>7955982910</t>
  </si>
  <si>
    <t>Trần Ngọc Bảo Hân</t>
  </si>
  <si>
    <t>16/11/2015</t>
  </si>
  <si>
    <t>14</t>
  </si>
  <si>
    <t>7965659265</t>
  </si>
  <si>
    <t>Đỗ Minh Hiếu</t>
  </si>
  <si>
    <t>01/01/2015</t>
  </si>
  <si>
    <t>15</t>
  </si>
  <si>
    <t>4855680375</t>
  </si>
  <si>
    <t>Trần Trọng Hiếu</t>
  </si>
  <si>
    <t>08/12/2015</t>
  </si>
  <si>
    <t>16</t>
  </si>
  <si>
    <t>7932904528</t>
  </si>
  <si>
    <t>Trần Trọng Huy</t>
  </si>
  <si>
    <t>10/06/2015</t>
  </si>
  <si>
    <t>17</t>
  </si>
  <si>
    <t>7929943877</t>
  </si>
  <si>
    <t>Nguyễn Ngọc Khải</t>
  </si>
  <si>
    <t>18</t>
  </si>
  <si>
    <t>7944407632</t>
  </si>
  <si>
    <t>Phạm Duy Khang</t>
  </si>
  <si>
    <t>31/10/2015</t>
  </si>
  <si>
    <t>19</t>
  </si>
  <si>
    <t>3633284157</t>
  </si>
  <si>
    <t>Vũ Minh Khôi</t>
  </si>
  <si>
    <t>02/01/2015</t>
  </si>
  <si>
    <t>20</t>
  </si>
  <si>
    <t>7943612854</t>
  </si>
  <si>
    <t>Lê Phú Lạc</t>
  </si>
  <si>
    <t>10/11/2015</t>
  </si>
  <si>
    <t>21</t>
  </si>
  <si>
    <t>7965552831</t>
  </si>
  <si>
    <t>Nguyễn Ngọc Thùy Linh</t>
  </si>
  <si>
    <t>01/06/2015</t>
  </si>
  <si>
    <t>22</t>
  </si>
  <si>
    <t>7965659364</t>
  </si>
  <si>
    <t>Nguyễn Võ Yến Linh</t>
  </si>
  <si>
    <t>07/08/2015</t>
  </si>
  <si>
    <t>23</t>
  </si>
  <si>
    <t>7965659365</t>
  </si>
  <si>
    <t>Lê Gia Long</t>
  </si>
  <si>
    <t>29/04/2015</t>
  </si>
  <si>
    <t>24</t>
  </si>
  <si>
    <t>7965659366</t>
  </si>
  <si>
    <t>Trần Lâm Ngọc Minh</t>
  </si>
  <si>
    <t>14/02/2015</t>
  </si>
  <si>
    <t>25</t>
  </si>
  <si>
    <t>7963068879</t>
  </si>
  <si>
    <t>TRƯƠNG NGỌC HÀ MY</t>
  </si>
  <si>
    <t>02/05/2015</t>
  </si>
  <si>
    <t>26</t>
  </si>
  <si>
    <t>7932961251</t>
  </si>
  <si>
    <t>Lê Hoàng Nam</t>
  </si>
  <si>
    <t>05/02/2015</t>
  </si>
  <si>
    <t>27</t>
  </si>
  <si>
    <t>7933602100</t>
  </si>
  <si>
    <t>Nguyễn Thị Bích Ngân</t>
  </si>
  <si>
    <t>02/08/2015</t>
  </si>
  <si>
    <t>28</t>
  </si>
  <si>
    <t>7929943889</t>
  </si>
  <si>
    <t>Vũ Kim Ngân</t>
  </si>
  <si>
    <t>28/08/2015</t>
  </si>
  <si>
    <t>29</t>
  </si>
  <si>
    <t>7965659368</t>
  </si>
  <si>
    <t>Nguyễn Bảo Ngọc</t>
  </si>
  <si>
    <t>03/04/2015</t>
  </si>
  <si>
    <t>30</t>
  </si>
  <si>
    <t>7965659271</t>
  </si>
  <si>
    <t>Nguyễn Thuỵ Ánh Ngọc</t>
  </si>
  <si>
    <t>07/10/2015</t>
  </si>
  <si>
    <t>31</t>
  </si>
  <si>
    <t>7942433901</t>
  </si>
  <si>
    <t>Nguyễn Đình Nhân</t>
  </si>
  <si>
    <t>23/12/2015</t>
  </si>
  <si>
    <t>32</t>
  </si>
  <si>
    <t>3865659369</t>
  </si>
  <si>
    <t>Lương Nguyễn Gia Nhi</t>
  </si>
  <si>
    <t>33</t>
  </si>
  <si>
    <t>7962501095</t>
  </si>
  <si>
    <t>Đặng Minh Phát</t>
  </si>
  <si>
    <t>28/12/2015</t>
  </si>
  <si>
    <t>34</t>
  </si>
  <si>
    <t>7950100584</t>
  </si>
  <si>
    <t>Lê Gia Phú</t>
  </si>
  <si>
    <t>13/12/2015</t>
  </si>
  <si>
    <t>35</t>
  </si>
  <si>
    <t>7965659380</t>
  </si>
  <si>
    <t>Đỗ Trần Tiểu Phụng</t>
  </si>
  <si>
    <t>10/12/2015</t>
  </si>
  <si>
    <t>36</t>
  </si>
  <si>
    <t>8625706466</t>
  </si>
  <si>
    <t>NGUYỄN ĐĂNG QUANG</t>
  </si>
  <si>
    <t>09/07/2015</t>
  </si>
  <si>
    <t>37</t>
  </si>
  <si>
    <t>7965659371</t>
  </si>
  <si>
    <t>Dương Như Quỳnh</t>
  </si>
  <si>
    <t>08/10/2015</t>
  </si>
  <si>
    <t>38</t>
  </si>
  <si>
    <t>7965659373</t>
  </si>
  <si>
    <t>Ngô Minh Thiện</t>
  </si>
  <si>
    <t>20/06/2015</t>
  </si>
  <si>
    <t>39</t>
  </si>
  <si>
    <t>7047299366</t>
  </si>
  <si>
    <t>Phan Thùy Trang</t>
  </si>
  <si>
    <t>20/10/2015</t>
  </si>
  <si>
    <t>40</t>
  </si>
  <si>
    <t>7965659374</t>
  </si>
  <si>
    <t>Nguyễn Châu Minh Tú</t>
  </si>
  <si>
    <t>31/05/2015</t>
  </si>
  <si>
    <t>41</t>
  </si>
  <si>
    <t>4665659375</t>
  </si>
  <si>
    <t>Nguyễn Lê Nhã Uyên</t>
  </si>
  <si>
    <t>21/09/2015</t>
  </si>
  <si>
    <t>42</t>
  </si>
  <si>
    <t>7956038354</t>
  </si>
  <si>
    <t>Nguyễn Ngọc Tường Vy</t>
  </si>
  <si>
    <t>13/01/2015</t>
  </si>
  <si>
    <t>43</t>
  </si>
  <si>
    <t>7965659527</t>
  </si>
  <si>
    <t>Nguyễn Tường Vy</t>
  </si>
  <si>
    <t>14/07/2015</t>
  </si>
  <si>
    <t>44</t>
  </si>
  <si>
    <t>7933011507</t>
  </si>
  <si>
    <t>Phan Nguyễn Phương Vy</t>
  </si>
  <si>
    <t>09/04/2015</t>
  </si>
  <si>
    <t>45</t>
  </si>
  <si>
    <t>8733693045</t>
  </si>
  <si>
    <t>Nguyễn Ngọc Như Ý</t>
  </si>
  <si>
    <t>H</t>
  </si>
  <si>
    <t>T</t>
  </si>
  <si>
    <t>Em nắm vững kiến thức môn học, viết văn có hình ảnh sinh động, diễn đạt mạch lạc.</t>
  </si>
  <si>
    <t>Em đọc hiểu tốt, cần rèn thêm chữ viết và luyện đọc trôi chảy hơn.</t>
  </si>
  <si>
    <t xml:space="preserve">Em cần cố gắng rèn thêm kĩ năng trả lời câu hỏi và viết câu đúng yêu cầu. </t>
  </si>
  <si>
    <t>Em đọc bài tốt, cần rèn thêm kĩ năng viết văn mạch lạc, đúng yêu cầu.</t>
  </si>
  <si>
    <t>Em viết văn tốt tuy nhiên cần rèn thêm chữ viết và kĩ năng trả lời câu hỏi chính xác hơn.</t>
  </si>
  <si>
    <t>Em đọc bài trôi chảy, cần cố gắng rèn thêm kĩ năng viết câu, viết văn mạch lạc hơn.</t>
  </si>
  <si>
    <t>Em đọc bài trôi chảy, cần cố gắng rèn thêm kĩ năng trả lời câu hỏi.</t>
  </si>
  <si>
    <t>Em có kĩ năng đọc hiểu tốt, viết được bài văn đúng yêu cầu, sáng tạo.</t>
  </si>
  <si>
    <t>Em tiếp thu tốt, viết văn có hình ảnh sinh động, diễn đạt mạch lạc.</t>
  </si>
  <si>
    <t>CK2</t>
  </si>
  <si>
    <t>Em nắm được kiến thức môn học, cần rèn thêm kĩ năng trả lời câu hỏi và trình bày sạch đẹp hơn.</t>
  </si>
  <si>
    <t>Em nắm vững kiến thức đã học, có kĩ năng đọc hiểu tốt, viết văn giàu cảm xúc, diễn đạt mạch lạc.</t>
  </si>
  <si>
    <t>Em có kĩ năng đọc và trả lời câu hỏi tốt, câu văn có hình ảnh hay, giàu cảm xúc, chữ viết trình bày sạch đẹp.</t>
  </si>
  <si>
    <t>Em đọc bài lưu loát, cần rèn thêm kĩ năng trả lời câu hỏi và diễn đạt câu văn giàu cảm xúc hơn.</t>
  </si>
  <si>
    <t>Em đọc bài lưu loát, cần rèn thêm kĩ năng đọc hiểu và diễn đạt câu văn giàu cảm xúc hơn.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</si>
</sst>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17"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39" workbookViewId="0">
      <selection activeCell="A47" sqref="A47:L92"/>
    </sheetView>
  </sheetViews>
  <sheetFormatPr defaultRowHeight="15.5" x14ac:dyDescent="0.35"/>
  <cols>
    <col min="1" max="1" width="6.4140625" style="2" customWidth="1"/>
    <col min="2" max="2" width="12.5" style="2" customWidth="1"/>
    <col min="3" max="3" width="21.4140625" style="1" customWidth="1"/>
    <col min="4" max="4" width="11.5" style="1" customWidth="1"/>
    <col min="5" max="5" width="6.9140625" style="2" customWidth="1"/>
    <col min="6" max="9" width="7.58203125" style="2" customWidth="1"/>
    <col min="10" max="10" width="7.58203125" style="5" customWidth="1"/>
    <col min="11" max="11" width="11.1640625" style="2" customWidth="1"/>
    <col min="12" max="12" width="35.6640625" style="2" customWidth="1"/>
  </cols>
  <sheetData>
    <row r="1" spans="1:13" ht="54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6" t="s">
        <v>12</v>
      </c>
    </row>
    <row r="2" spans="1:13" ht="28" x14ac:dyDescent="0.35">
      <c r="A2" s="8" t="s">
        <v>13</v>
      </c>
      <c r="B2" s="7" t="s">
        <v>14</v>
      </c>
      <c r="C2" s="7" t="s">
        <v>15</v>
      </c>
      <c r="D2" s="7" t="s">
        <v>16</v>
      </c>
      <c r="E2" s="7" t="s">
        <v>190</v>
      </c>
      <c r="F2" s="9">
        <v>1.5</v>
      </c>
      <c r="G2" s="9">
        <v>6.5</v>
      </c>
      <c r="H2" s="9">
        <f>SUM(F2:G2)</f>
        <v>8</v>
      </c>
      <c r="I2" s="9">
        <v>8</v>
      </c>
      <c r="J2" s="9">
        <f>ROUND((H2+I2)/2, 0)</f>
        <v>8</v>
      </c>
      <c r="K2" s="7"/>
      <c r="L2" s="7" t="s">
        <v>196</v>
      </c>
      <c r="M2" s="7" t="s">
        <v>17</v>
      </c>
    </row>
    <row r="3" spans="1:13" ht="28" x14ac:dyDescent="0.35">
      <c r="A3" s="8" t="s">
        <v>18</v>
      </c>
      <c r="B3" s="7" t="s">
        <v>19</v>
      </c>
      <c r="C3" s="7" t="s">
        <v>20</v>
      </c>
      <c r="D3" s="7" t="s">
        <v>21</v>
      </c>
      <c r="E3" s="7" t="s">
        <v>191</v>
      </c>
      <c r="F3" s="9">
        <v>2</v>
      </c>
      <c r="G3" s="9">
        <v>8</v>
      </c>
      <c r="H3" s="9">
        <f t="shared" ref="H3:H46" si="0">SUM(F3:G3)</f>
        <v>10</v>
      </c>
      <c r="I3" s="9">
        <v>8</v>
      </c>
      <c r="J3" s="9">
        <f t="shared" ref="J3:J46" si="1">ROUND((H3+I3)/2, 0)</f>
        <v>9</v>
      </c>
      <c r="K3" s="7"/>
      <c r="L3" s="10" t="s">
        <v>199</v>
      </c>
      <c r="M3" s="7" t="s">
        <v>17</v>
      </c>
    </row>
    <row r="4" spans="1:13" ht="28" x14ac:dyDescent="0.35">
      <c r="A4" s="8" t="s">
        <v>22</v>
      </c>
      <c r="B4" s="7" t="s">
        <v>23</v>
      </c>
      <c r="C4" s="7" t="s">
        <v>24</v>
      </c>
      <c r="D4" s="7" t="s">
        <v>25</v>
      </c>
      <c r="E4" s="7" t="s">
        <v>190</v>
      </c>
      <c r="F4" s="9">
        <v>2</v>
      </c>
      <c r="G4" s="9">
        <v>5.5</v>
      </c>
      <c r="H4" s="9">
        <f t="shared" si="0"/>
        <v>7.5</v>
      </c>
      <c r="I4" s="9">
        <v>9</v>
      </c>
      <c r="J4" s="9">
        <f t="shared" si="1"/>
        <v>8</v>
      </c>
      <c r="K4" s="7"/>
      <c r="L4" s="7" t="s">
        <v>197</v>
      </c>
      <c r="M4" s="7" t="s">
        <v>17</v>
      </c>
    </row>
    <row r="5" spans="1:13" ht="28" x14ac:dyDescent="0.35">
      <c r="A5" s="8" t="s">
        <v>26</v>
      </c>
      <c r="B5" s="7" t="s">
        <v>27</v>
      </c>
      <c r="C5" s="7" t="s">
        <v>28</v>
      </c>
      <c r="D5" s="7" t="s">
        <v>29</v>
      </c>
      <c r="E5" s="7" t="s">
        <v>190</v>
      </c>
      <c r="F5" s="9">
        <v>1.5</v>
      </c>
      <c r="G5" s="9">
        <v>7</v>
      </c>
      <c r="H5" s="9">
        <f t="shared" si="0"/>
        <v>8.5</v>
      </c>
      <c r="I5" s="9">
        <v>7</v>
      </c>
      <c r="J5" s="9">
        <f t="shared" si="1"/>
        <v>8</v>
      </c>
      <c r="K5" s="7"/>
      <c r="L5" s="7" t="s">
        <v>196</v>
      </c>
      <c r="M5" s="7" t="s">
        <v>17</v>
      </c>
    </row>
    <row r="6" spans="1:13" ht="28" x14ac:dyDescent="0.35">
      <c r="A6" s="8" t="s">
        <v>30</v>
      </c>
      <c r="B6" s="7" t="s">
        <v>31</v>
      </c>
      <c r="C6" s="7" t="s">
        <v>32</v>
      </c>
      <c r="D6" s="7" t="s">
        <v>16</v>
      </c>
      <c r="E6" s="7" t="s">
        <v>191</v>
      </c>
      <c r="F6" s="9">
        <v>2</v>
      </c>
      <c r="G6" s="9">
        <v>7</v>
      </c>
      <c r="H6" s="9">
        <f t="shared" si="0"/>
        <v>9</v>
      </c>
      <c r="I6" s="9">
        <v>9.5</v>
      </c>
      <c r="J6" s="9">
        <f t="shared" si="1"/>
        <v>9</v>
      </c>
      <c r="K6" s="7"/>
      <c r="L6" s="10" t="s">
        <v>199</v>
      </c>
      <c r="M6" s="7" t="s">
        <v>17</v>
      </c>
    </row>
    <row r="7" spans="1:13" ht="28" x14ac:dyDescent="0.35">
      <c r="A7" s="8" t="s">
        <v>33</v>
      </c>
      <c r="B7" s="7" t="s">
        <v>34</v>
      </c>
      <c r="C7" s="7" t="s">
        <v>35</v>
      </c>
      <c r="D7" s="7" t="s">
        <v>36</v>
      </c>
      <c r="E7" s="7" t="s">
        <v>191</v>
      </c>
      <c r="F7" s="9">
        <v>2</v>
      </c>
      <c r="G7" s="9">
        <v>8</v>
      </c>
      <c r="H7" s="9">
        <f t="shared" si="0"/>
        <v>10</v>
      </c>
      <c r="I7" s="9">
        <v>9</v>
      </c>
      <c r="J7" s="9">
        <f t="shared" si="1"/>
        <v>10</v>
      </c>
      <c r="K7" s="7"/>
      <c r="L7" s="7" t="s">
        <v>192</v>
      </c>
      <c r="M7" s="7" t="s">
        <v>17</v>
      </c>
    </row>
    <row r="8" spans="1:13" ht="28" x14ac:dyDescent="0.35">
      <c r="A8" s="8" t="s">
        <v>37</v>
      </c>
      <c r="B8" s="7" t="s">
        <v>38</v>
      </c>
      <c r="C8" s="7" t="s">
        <v>39</v>
      </c>
      <c r="D8" s="7" t="s">
        <v>40</v>
      </c>
      <c r="E8" s="7" t="s">
        <v>191</v>
      </c>
      <c r="F8" s="9">
        <v>2</v>
      </c>
      <c r="G8" s="9">
        <v>7.5</v>
      </c>
      <c r="H8" s="9">
        <f t="shared" si="0"/>
        <v>9.5</v>
      </c>
      <c r="I8" s="9">
        <v>9</v>
      </c>
      <c r="J8" s="9">
        <f t="shared" si="1"/>
        <v>9</v>
      </c>
      <c r="K8" s="7"/>
      <c r="L8" s="10" t="s">
        <v>199</v>
      </c>
      <c r="M8" s="7" t="s">
        <v>17</v>
      </c>
    </row>
    <row r="9" spans="1:13" ht="28" x14ac:dyDescent="0.35">
      <c r="A9" s="8" t="s">
        <v>41</v>
      </c>
      <c r="B9" s="7" t="s">
        <v>42</v>
      </c>
      <c r="C9" s="7" t="s">
        <v>43</v>
      </c>
      <c r="D9" s="7" t="s">
        <v>44</v>
      </c>
      <c r="E9" s="7" t="s">
        <v>190</v>
      </c>
      <c r="F9" s="9">
        <v>2</v>
      </c>
      <c r="G9" s="9">
        <v>5</v>
      </c>
      <c r="H9" s="9">
        <f t="shared" si="0"/>
        <v>7</v>
      </c>
      <c r="I9" s="9">
        <v>8.5</v>
      </c>
      <c r="J9" s="9">
        <f t="shared" si="1"/>
        <v>8</v>
      </c>
      <c r="K9" s="7"/>
      <c r="L9" s="7" t="s">
        <v>196</v>
      </c>
      <c r="M9" s="7" t="s">
        <v>17</v>
      </c>
    </row>
    <row r="10" spans="1:13" ht="28" x14ac:dyDescent="0.35">
      <c r="A10" s="8" t="s">
        <v>45</v>
      </c>
      <c r="B10" s="7" t="s">
        <v>46</v>
      </c>
      <c r="C10" s="7" t="s">
        <v>47</v>
      </c>
      <c r="D10" s="7" t="s">
        <v>48</v>
      </c>
      <c r="E10" s="7" t="s">
        <v>191</v>
      </c>
      <c r="F10" s="9">
        <v>2</v>
      </c>
      <c r="G10" s="9">
        <v>7.5</v>
      </c>
      <c r="H10" s="9">
        <f t="shared" si="0"/>
        <v>9.5</v>
      </c>
      <c r="I10" s="9">
        <v>10</v>
      </c>
      <c r="J10" s="9">
        <f t="shared" si="1"/>
        <v>10</v>
      </c>
      <c r="K10" s="7"/>
      <c r="L10" s="7" t="s">
        <v>192</v>
      </c>
      <c r="M10" s="7" t="s">
        <v>17</v>
      </c>
    </row>
    <row r="11" spans="1:13" ht="28" x14ac:dyDescent="0.35">
      <c r="A11" s="8" t="s">
        <v>49</v>
      </c>
      <c r="B11" s="7" t="s">
        <v>50</v>
      </c>
      <c r="C11" s="7" t="s">
        <v>51</v>
      </c>
      <c r="D11" s="7" t="s">
        <v>52</v>
      </c>
      <c r="E11" s="7" t="s">
        <v>191</v>
      </c>
      <c r="F11" s="9">
        <v>2</v>
      </c>
      <c r="G11" s="9">
        <v>7</v>
      </c>
      <c r="H11" s="9">
        <f t="shared" si="0"/>
        <v>9</v>
      </c>
      <c r="I11" s="9">
        <v>9</v>
      </c>
      <c r="J11" s="9">
        <f t="shared" si="1"/>
        <v>9</v>
      </c>
      <c r="K11" s="7"/>
      <c r="L11" s="10" t="s">
        <v>199</v>
      </c>
      <c r="M11" s="7" t="s">
        <v>17</v>
      </c>
    </row>
    <row r="12" spans="1:13" ht="28" x14ac:dyDescent="0.35">
      <c r="A12" s="8" t="s">
        <v>53</v>
      </c>
      <c r="B12" s="7" t="s">
        <v>54</v>
      </c>
      <c r="C12" s="7" t="s">
        <v>55</v>
      </c>
      <c r="D12" s="7" t="s">
        <v>56</v>
      </c>
      <c r="E12" s="7" t="s">
        <v>191</v>
      </c>
      <c r="F12" s="9">
        <v>2</v>
      </c>
      <c r="G12" s="9">
        <v>7.5</v>
      </c>
      <c r="H12" s="9">
        <f t="shared" si="0"/>
        <v>9.5</v>
      </c>
      <c r="I12" s="9">
        <v>8</v>
      </c>
      <c r="J12" s="9">
        <f t="shared" si="1"/>
        <v>9</v>
      </c>
      <c r="K12" s="7"/>
      <c r="L12" s="10" t="s">
        <v>199</v>
      </c>
      <c r="M12" s="7" t="s">
        <v>17</v>
      </c>
    </row>
    <row r="13" spans="1:13" ht="28" x14ac:dyDescent="0.35">
      <c r="A13" s="8" t="s">
        <v>57</v>
      </c>
      <c r="B13" s="7" t="s">
        <v>58</v>
      </c>
      <c r="C13" s="7" t="s">
        <v>59</v>
      </c>
      <c r="D13" s="7" t="s">
        <v>60</v>
      </c>
      <c r="E13" s="7" t="s">
        <v>191</v>
      </c>
      <c r="F13" s="9">
        <v>2</v>
      </c>
      <c r="G13" s="9">
        <v>7</v>
      </c>
      <c r="H13" s="9">
        <f t="shared" si="0"/>
        <v>9</v>
      </c>
      <c r="I13" s="9">
        <v>8</v>
      </c>
      <c r="J13" s="9">
        <f t="shared" si="1"/>
        <v>9</v>
      </c>
      <c r="K13" s="7"/>
      <c r="L13" s="10" t="s">
        <v>199</v>
      </c>
      <c r="M13" s="7" t="s">
        <v>17</v>
      </c>
    </row>
    <row r="14" spans="1:13" ht="28" x14ac:dyDescent="0.35">
      <c r="A14" s="8" t="s">
        <v>61</v>
      </c>
      <c r="B14" s="7" t="s">
        <v>62</v>
      </c>
      <c r="C14" s="7" t="s">
        <v>63</v>
      </c>
      <c r="D14" s="7" t="s">
        <v>64</v>
      </c>
      <c r="E14" s="7" t="s">
        <v>190</v>
      </c>
      <c r="F14" s="9">
        <v>2</v>
      </c>
      <c r="G14" s="9">
        <v>6.5</v>
      </c>
      <c r="H14" s="9">
        <f t="shared" si="0"/>
        <v>8.5</v>
      </c>
      <c r="I14" s="9">
        <v>8</v>
      </c>
      <c r="J14" s="9">
        <f t="shared" si="1"/>
        <v>8</v>
      </c>
      <c r="K14" s="7"/>
      <c r="L14" s="7" t="s">
        <v>197</v>
      </c>
      <c r="M14" s="7" t="s">
        <v>17</v>
      </c>
    </row>
    <row r="15" spans="1:13" ht="28" x14ac:dyDescent="0.35">
      <c r="A15" s="8" t="s">
        <v>65</v>
      </c>
      <c r="B15" s="7" t="s">
        <v>66</v>
      </c>
      <c r="C15" s="7" t="s">
        <v>67</v>
      </c>
      <c r="D15" s="7" t="s">
        <v>68</v>
      </c>
      <c r="E15" s="7" t="s">
        <v>190</v>
      </c>
      <c r="F15" s="9">
        <v>2</v>
      </c>
      <c r="G15" s="9">
        <v>7</v>
      </c>
      <c r="H15" s="9">
        <f t="shared" si="0"/>
        <v>9</v>
      </c>
      <c r="I15" s="9">
        <v>7</v>
      </c>
      <c r="J15" s="9">
        <f t="shared" si="1"/>
        <v>8</v>
      </c>
      <c r="K15" s="7"/>
      <c r="L15" s="7" t="s">
        <v>197</v>
      </c>
      <c r="M15" s="7" t="s">
        <v>17</v>
      </c>
    </row>
    <row r="16" spans="1:13" ht="28" x14ac:dyDescent="0.35">
      <c r="A16" s="8" t="s">
        <v>69</v>
      </c>
      <c r="B16" s="7" t="s">
        <v>70</v>
      </c>
      <c r="C16" s="7" t="s">
        <v>71</v>
      </c>
      <c r="D16" s="7" t="s">
        <v>72</v>
      </c>
      <c r="E16" s="7" t="s">
        <v>190</v>
      </c>
      <c r="F16" s="9">
        <v>1.5</v>
      </c>
      <c r="G16" s="9">
        <v>7</v>
      </c>
      <c r="H16" s="9">
        <f t="shared" si="0"/>
        <v>8.5</v>
      </c>
      <c r="I16" s="9">
        <v>7.5</v>
      </c>
      <c r="J16" s="9">
        <f t="shared" si="1"/>
        <v>8</v>
      </c>
      <c r="K16" s="7"/>
      <c r="L16" s="7" t="s">
        <v>197</v>
      </c>
      <c r="M16" s="7" t="s">
        <v>17</v>
      </c>
    </row>
    <row r="17" spans="1:13" ht="28" x14ac:dyDescent="0.35">
      <c r="A17" s="8" t="s">
        <v>73</v>
      </c>
      <c r="B17" s="7" t="s">
        <v>74</v>
      </c>
      <c r="C17" s="7" t="s">
        <v>75</v>
      </c>
      <c r="D17" s="7" t="s">
        <v>76</v>
      </c>
      <c r="E17" s="7" t="s">
        <v>191</v>
      </c>
      <c r="F17" s="9">
        <v>2</v>
      </c>
      <c r="G17" s="9">
        <v>7.5</v>
      </c>
      <c r="H17" s="9">
        <f t="shared" si="0"/>
        <v>9.5</v>
      </c>
      <c r="I17" s="9">
        <v>8.5</v>
      </c>
      <c r="J17" s="9">
        <f t="shared" si="1"/>
        <v>9</v>
      </c>
      <c r="K17" s="7"/>
      <c r="L17" s="10" t="s">
        <v>199</v>
      </c>
      <c r="M17" s="7" t="s">
        <v>17</v>
      </c>
    </row>
    <row r="18" spans="1:13" ht="28" x14ac:dyDescent="0.35">
      <c r="A18" s="8" t="s">
        <v>77</v>
      </c>
      <c r="B18" s="7" t="s">
        <v>78</v>
      </c>
      <c r="C18" s="7" t="s">
        <v>79</v>
      </c>
      <c r="D18" s="7" t="s">
        <v>48</v>
      </c>
      <c r="E18" s="7" t="s">
        <v>190</v>
      </c>
      <c r="F18" s="9">
        <v>1.5</v>
      </c>
      <c r="G18" s="9">
        <v>6.5</v>
      </c>
      <c r="H18" s="9">
        <f t="shared" si="0"/>
        <v>8</v>
      </c>
      <c r="I18" s="9">
        <v>7</v>
      </c>
      <c r="J18" s="9">
        <f t="shared" si="1"/>
        <v>8</v>
      </c>
      <c r="K18" s="7"/>
      <c r="L18" s="7" t="s">
        <v>193</v>
      </c>
      <c r="M18" s="7" t="s">
        <v>17</v>
      </c>
    </row>
    <row r="19" spans="1:13" ht="28" x14ac:dyDescent="0.35">
      <c r="A19" s="8" t="s">
        <v>80</v>
      </c>
      <c r="B19" s="7" t="s">
        <v>81</v>
      </c>
      <c r="C19" s="7" t="s">
        <v>82</v>
      </c>
      <c r="D19" s="7" t="s">
        <v>83</v>
      </c>
      <c r="E19" s="7" t="s">
        <v>190</v>
      </c>
      <c r="F19" s="9">
        <v>1.5</v>
      </c>
      <c r="G19" s="9">
        <v>7</v>
      </c>
      <c r="H19" s="9">
        <f t="shared" si="0"/>
        <v>8.5</v>
      </c>
      <c r="I19" s="9">
        <v>6</v>
      </c>
      <c r="J19" s="9">
        <f t="shared" si="1"/>
        <v>7</v>
      </c>
      <c r="K19" s="7"/>
      <c r="L19" s="7" t="s">
        <v>195</v>
      </c>
      <c r="M19" s="7" t="s">
        <v>17</v>
      </c>
    </row>
    <row r="20" spans="1:13" ht="28" x14ac:dyDescent="0.35">
      <c r="A20" s="8" t="s">
        <v>84</v>
      </c>
      <c r="B20" s="7" t="s">
        <v>85</v>
      </c>
      <c r="C20" s="7" t="s">
        <v>86</v>
      </c>
      <c r="D20" s="7" t="s">
        <v>87</v>
      </c>
      <c r="E20" s="7" t="s">
        <v>190</v>
      </c>
      <c r="F20" s="9">
        <v>1.5</v>
      </c>
      <c r="G20" s="9">
        <v>4</v>
      </c>
      <c r="H20" s="9">
        <f t="shared" si="0"/>
        <v>5.5</v>
      </c>
      <c r="I20" s="9">
        <v>7</v>
      </c>
      <c r="J20" s="9">
        <f t="shared" si="1"/>
        <v>6</v>
      </c>
      <c r="K20" s="7"/>
      <c r="L20" s="7" t="s">
        <v>194</v>
      </c>
      <c r="M20" s="7" t="s">
        <v>17</v>
      </c>
    </row>
    <row r="21" spans="1:13" ht="28" x14ac:dyDescent="0.35">
      <c r="A21" s="8" t="s">
        <v>88</v>
      </c>
      <c r="B21" s="7" t="s">
        <v>89</v>
      </c>
      <c r="C21" s="7" t="s">
        <v>90</v>
      </c>
      <c r="D21" s="7" t="s">
        <v>91</v>
      </c>
      <c r="E21" s="7" t="s">
        <v>191</v>
      </c>
      <c r="F21" s="9">
        <v>2</v>
      </c>
      <c r="G21" s="9">
        <v>7.5</v>
      </c>
      <c r="H21" s="9">
        <f t="shared" si="0"/>
        <v>9.5</v>
      </c>
      <c r="I21" s="9">
        <v>8.5</v>
      </c>
      <c r="J21" s="9">
        <f t="shared" si="1"/>
        <v>9</v>
      </c>
      <c r="K21" s="7"/>
      <c r="L21" s="10" t="s">
        <v>199</v>
      </c>
      <c r="M21" s="7" t="s">
        <v>17</v>
      </c>
    </row>
    <row r="22" spans="1:13" ht="28" x14ac:dyDescent="0.35">
      <c r="A22" s="8" t="s">
        <v>92</v>
      </c>
      <c r="B22" s="7" t="s">
        <v>93</v>
      </c>
      <c r="C22" s="7" t="s">
        <v>94</v>
      </c>
      <c r="D22" s="7" t="s">
        <v>95</v>
      </c>
      <c r="E22" s="7" t="s">
        <v>191</v>
      </c>
      <c r="F22" s="9">
        <v>1.5</v>
      </c>
      <c r="G22" s="9">
        <v>8</v>
      </c>
      <c r="H22" s="9">
        <f t="shared" si="0"/>
        <v>9.5</v>
      </c>
      <c r="I22" s="9">
        <v>8</v>
      </c>
      <c r="J22" s="9">
        <f t="shared" si="1"/>
        <v>9</v>
      </c>
      <c r="K22" s="7"/>
      <c r="L22" s="10" t="s">
        <v>199</v>
      </c>
      <c r="M22" s="7" t="s">
        <v>17</v>
      </c>
    </row>
    <row r="23" spans="1:13" ht="28" x14ac:dyDescent="0.35">
      <c r="A23" s="8" t="s">
        <v>96</v>
      </c>
      <c r="B23" s="7" t="s">
        <v>97</v>
      </c>
      <c r="C23" s="7" t="s">
        <v>98</v>
      </c>
      <c r="D23" s="7" t="s">
        <v>99</v>
      </c>
      <c r="E23" s="7" t="s">
        <v>190</v>
      </c>
      <c r="F23" s="9">
        <v>1.5</v>
      </c>
      <c r="G23" s="9">
        <v>5.5</v>
      </c>
      <c r="H23" s="9">
        <f t="shared" si="0"/>
        <v>7</v>
      </c>
      <c r="I23" s="9">
        <v>8.5</v>
      </c>
      <c r="J23" s="9">
        <f t="shared" si="1"/>
        <v>8</v>
      </c>
      <c r="K23" s="7"/>
      <c r="L23" s="7" t="s">
        <v>196</v>
      </c>
      <c r="M23" s="7" t="s">
        <v>17</v>
      </c>
    </row>
    <row r="24" spans="1:13" ht="28" x14ac:dyDescent="0.35">
      <c r="A24" s="8" t="s">
        <v>100</v>
      </c>
      <c r="B24" s="7" t="s">
        <v>101</v>
      </c>
      <c r="C24" s="7" t="s">
        <v>102</v>
      </c>
      <c r="D24" s="7" t="s">
        <v>103</v>
      </c>
      <c r="E24" s="7" t="s">
        <v>191</v>
      </c>
      <c r="F24" s="9">
        <v>2</v>
      </c>
      <c r="G24" s="9">
        <v>7.5</v>
      </c>
      <c r="H24" s="9">
        <f t="shared" si="0"/>
        <v>9.5</v>
      </c>
      <c r="I24" s="9">
        <v>8.5</v>
      </c>
      <c r="J24" s="9">
        <f t="shared" si="1"/>
        <v>9</v>
      </c>
      <c r="K24" s="7"/>
      <c r="L24" s="10" t="s">
        <v>199</v>
      </c>
      <c r="M24" s="7" t="s">
        <v>17</v>
      </c>
    </row>
    <row r="25" spans="1:13" ht="28" x14ac:dyDescent="0.35">
      <c r="A25" s="8" t="s">
        <v>104</v>
      </c>
      <c r="B25" s="7" t="s">
        <v>105</v>
      </c>
      <c r="C25" s="7" t="s">
        <v>106</v>
      </c>
      <c r="D25" s="7" t="s">
        <v>107</v>
      </c>
      <c r="E25" s="7" t="s">
        <v>191</v>
      </c>
      <c r="F25" s="9">
        <v>2</v>
      </c>
      <c r="G25" s="9">
        <v>7</v>
      </c>
      <c r="H25" s="9">
        <f t="shared" si="0"/>
        <v>9</v>
      </c>
      <c r="I25" s="9">
        <v>9</v>
      </c>
      <c r="J25" s="9">
        <f t="shared" si="1"/>
        <v>9</v>
      </c>
      <c r="K25" s="7"/>
      <c r="L25" s="10" t="s">
        <v>199</v>
      </c>
      <c r="M25" s="7" t="s">
        <v>17</v>
      </c>
    </row>
    <row r="26" spans="1:13" ht="28" x14ac:dyDescent="0.35">
      <c r="A26" s="8" t="s">
        <v>108</v>
      </c>
      <c r="B26" s="7" t="s">
        <v>109</v>
      </c>
      <c r="C26" s="7" t="s">
        <v>110</v>
      </c>
      <c r="D26" s="7" t="s">
        <v>111</v>
      </c>
      <c r="E26" s="7" t="s">
        <v>191</v>
      </c>
      <c r="F26" s="9">
        <v>1.5</v>
      </c>
      <c r="G26" s="9">
        <v>8</v>
      </c>
      <c r="H26" s="9">
        <f t="shared" si="0"/>
        <v>9.5</v>
      </c>
      <c r="I26" s="9">
        <v>7.5</v>
      </c>
      <c r="J26" s="9">
        <f t="shared" si="1"/>
        <v>9</v>
      </c>
      <c r="K26" s="7"/>
      <c r="L26" s="10" t="s">
        <v>199</v>
      </c>
      <c r="M26" s="7" t="s">
        <v>17</v>
      </c>
    </row>
    <row r="27" spans="1:13" ht="28" x14ac:dyDescent="0.35">
      <c r="A27" s="8" t="s">
        <v>112</v>
      </c>
      <c r="B27" s="7" t="s">
        <v>113</v>
      </c>
      <c r="C27" s="7" t="s">
        <v>114</v>
      </c>
      <c r="D27" s="7" t="s">
        <v>115</v>
      </c>
      <c r="E27" s="7" t="s">
        <v>191</v>
      </c>
      <c r="F27" s="9">
        <v>2</v>
      </c>
      <c r="G27" s="9">
        <v>7.5</v>
      </c>
      <c r="H27" s="9">
        <f t="shared" si="0"/>
        <v>9.5</v>
      </c>
      <c r="I27" s="9">
        <v>8.5</v>
      </c>
      <c r="J27" s="9">
        <f t="shared" si="1"/>
        <v>9</v>
      </c>
      <c r="K27" s="7"/>
      <c r="L27" s="10" t="s">
        <v>199</v>
      </c>
      <c r="M27" s="7" t="s">
        <v>17</v>
      </c>
    </row>
    <row r="28" spans="1:13" ht="28" x14ac:dyDescent="0.35">
      <c r="A28" s="8" t="s">
        <v>116</v>
      </c>
      <c r="B28" s="7" t="s">
        <v>117</v>
      </c>
      <c r="C28" s="7" t="s">
        <v>118</v>
      </c>
      <c r="D28" s="7" t="s">
        <v>119</v>
      </c>
      <c r="E28" s="7" t="s">
        <v>191</v>
      </c>
      <c r="F28" s="9">
        <v>2</v>
      </c>
      <c r="G28" s="9">
        <v>8</v>
      </c>
      <c r="H28" s="9">
        <f t="shared" si="0"/>
        <v>10</v>
      </c>
      <c r="I28" s="9">
        <v>8</v>
      </c>
      <c r="J28" s="9">
        <f t="shared" si="1"/>
        <v>9</v>
      </c>
      <c r="K28" s="7"/>
      <c r="L28" s="10" t="s">
        <v>199</v>
      </c>
      <c r="M28" s="7" t="s">
        <v>17</v>
      </c>
    </row>
    <row r="29" spans="1:13" ht="28" x14ac:dyDescent="0.35">
      <c r="A29" s="8" t="s">
        <v>120</v>
      </c>
      <c r="B29" s="7" t="s">
        <v>121</v>
      </c>
      <c r="C29" s="7" t="s">
        <v>122</v>
      </c>
      <c r="D29" s="7" t="s">
        <v>123</v>
      </c>
      <c r="E29" s="7" t="s">
        <v>190</v>
      </c>
      <c r="F29" s="9">
        <v>2</v>
      </c>
      <c r="G29" s="9">
        <v>6.5</v>
      </c>
      <c r="H29" s="9">
        <f t="shared" si="0"/>
        <v>8.5</v>
      </c>
      <c r="I29" s="9">
        <v>8</v>
      </c>
      <c r="J29" s="9">
        <f t="shared" si="1"/>
        <v>8</v>
      </c>
      <c r="K29" s="7"/>
      <c r="L29" s="7" t="s">
        <v>197</v>
      </c>
      <c r="M29" s="7" t="s">
        <v>17</v>
      </c>
    </row>
    <row r="30" spans="1:13" ht="28" x14ac:dyDescent="0.35">
      <c r="A30" s="8" t="s">
        <v>124</v>
      </c>
      <c r="B30" s="7" t="s">
        <v>125</v>
      </c>
      <c r="C30" s="7" t="s">
        <v>126</v>
      </c>
      <c r="D30" s="7" t="s">
        <v>127</v>
      </c>
      <c r="E30" s="7" t="s">
        <v>191</v>
      </c>
      <c r="F30" s="9">
        <v>2</v>
      </c>
      <c r="G30" s="9">
        <v>8</v>
      </c>
      <c r="H30" s="9">
        <f t="shared" si="0"/>
        <v>10</v>
      </c>
      <c r="I30" s="9">
        <v>9.5</v>
      </c>
      <c r="J30" s="9">
        <f t="shared" si="1"/>
        <v>10</v>
      </c>
      <c r="K30" s="7"/>
      <c r="L30" s="7" t="s">
        <v>192</v>
      </c>
      <c r="M30" s="7" t="s">
        <v>17</v>
      </c>
    </row>
    <row r="31" spans="1:13" ht="28" x14ac:dyDescent="0.35">
      <c r="A31" s="8" t="s">
        <v>128</v>
      </c>
      <c r="B31" s="7" t="s">
        <v>129</v>
      </c>
      <c r="C31" s="7" t="s">
        <v>130</v>
      </c>
      <c r="D31" s="7" t="s">
        <v>131</v>
      </c>
      <c r="E31" s="7" t="s">
        <v>191</v>
      </c>
      <c r="F31" s="9">
        <v>2</v>
      </c>
      <c r="G31" s="9">
        <v>7.5</v>
      </c>
      <c r="H31" s="9">
        <f t="shared" si="0"/>
        <v>9.5</v>
      </c>
      <c r="I31" s="9">
        <v>9.5</v>
      </c>
      <c r="J31" s="9">
        <f t="shared" si="1"/>
        <v>10</v>
      </c>
      <c r="K31" s="7"/>
      <c r="L31" s="7" t="s">
        <v>192</v>
      </c>
      <c r="M31" s="7" t="s">
        <v>17</v>
      </c>
    </row>
    <row r="32" spans="1:13" ht="28" x14ac:dyDescent="0.35">
      <c r="A32" s="8" t="s">
        <v>132</v>
      </c>
      <c r="B32" s="7" t="s">
        <v>133</v>
      </c>
      <c r="C32" s="7" t="s">
        <v>134</v>
      </c>
      <c r="D32" s="7" t="s">
        <v>135</v>
      </c>
      <c r="E32" s="7" t="s">
        <v>191</v>
      </c>
      <c r="F32" s="9">
        <v>2</v>
      </c>
      <c r="G32" s="9">
        <v>8</v>
      </c>
      <c r="H32" s="9">
        <f t="shared" si="0"/>
        <v>10</v>
      </c>
      <c r="I32" s="9">
        <v>7.5</v>
      </c>
      <c r="J32" s="9">
        <f t="shared" si="1"/>
        <v>9</v>
      </c>
      <c r="K32" s="7"/>
      <c r="L32" s="10" t="s">
        <v>199</v>
      </c>
      <c r="M32" s="7" t="s">
        <v>17</v>
      </c>
    </row>
    <row r="33" spans="1:13" ht="28" x14ac:dyDescent="0.35">
      <c r="A33" s="8" t="s">
        <v>136</v>
      </c>
      <c r="B33" s="7" t="s">
        <v>137</v>
      </c>
      <c r="C33" s="7" t="s">
        <v>138</v>
      </c>
      <c r="D33" s="7" t="s">
        <v>76</v>
      </c>
      <c r="E33" s="7" t="s">
        <v>190</v>
      </c>
      <c r="F33" s="9">
        <v>2</v>
      </c>
      <c r="G33" s="9">
        <v>6.5</v>
      </c>
      <c r="H33" s="9">
        <f t="shared" si="0"/>
        <v>8.5</v>
      </c>
      <c r="I33" s="9">
        <v>7.5</v>
      </c>
      <c r="J33" s="9">
        <f t="shared" si="1"/>
        <v>8</v>
      </c>
      <c r="K33" s="7"/>
      <c r="L33" s="7" t="s">
        <v>197</v>
      </c>
      <c r="M33" s="7" t="s">
        <v>17</v>
      </c>
    </row>
    <row r="34" spans="1:13" ht="28" x14ac:dyDescent="0.35">
      <c r="A34" s="8" t="s">
        <v>139</v>
      </c>
      <c r="B34" s="7" t="s">
        <v>140</v>
      </c>
      <c r="C34" s="7" t="s">
        <v>141</v>
      </c>
      <c r="D34" s="7" t="s">
        <v>142</v>
      </c>
      <c r="E34" s="7" t="s">
        <v>190</v>
      </c>
      <c r="F34" s="9">
        <v>2</v>
      </c>
      <c r="G34" s="9">
        <v>6.5</v>
      </c>
      <c r="H34" s="9">
        <f t="shared" si="0"/>
        <v>8.5</v>
      </c>
      <c r="I34" s="9">
        <v>7</v>
      </c>
      <c r="J34" s="9">
        <f t="shared" si="1"/>
        <v>8</v>
      </c>
      <c r="K34" s="7"/>
      <c r="L34" s="7" t="s">
        <v>196</v>
      </c>
      <c r="M34" s="7" t="s">
        <v>17</v>
      </c>
    </row>
    <row r="35" spans="1:13" ht="28" x14ac:dyDescent="0.35">
      <c r="A35" s="8" t="s">
        <v>143</v>
      </c>
      <c r="B35" s="7" t="s">
        <v>144</v>
      </c>
      <c r="C35" s="7" t="s">
        <v>145</v>
      </c>
      <c r="D35" s="7" t="s">
        <v>146</v>
      </c>
      <c r="E35" s="7" t="s">
        <v>191</v>
      </c>
      <c r="F35" s="9">
        <v>2</v>
      </c>
      <c r="G35" s="9">
        <v>8</v>
      </c>
      <c r="H35" s="9">
        <f t="shared" si="0"/>
        <v>10</v>
      </c>
      <c r="I35" s="9">
        <v>9</v>
      </c>
      <c r="J35" s="9">
        <f t="shared" si="1"/>
        <v>10</v>
      </c>
      <c r="K35" s="7"/>
      <c r="L35" s="7" t="s">
        <v>192</v>
      </c>
      <c r="M35" s="7" t="s">
        <v>17</v>
      </c>
    </row>
    <row r="36" spans="1:13" ht="28" x14ac:dyDescent="0.35">
      <c r="A36" s="8" t="s">
        <v>147</v>
      </c>
      <c r="B36" s="7" t="s">
        <v>148</v>
      </c>
      <c r="C36" s="7" t="s">
        <v>149</v>
      </c>
      <c r="D36" s="7" t="s">
        <v>150</v>
      </c>
      <c r="E36" s="7" t="s">
        <v>191</v>
      </c>
      <c r="F36" s="9">
        <v>2</v>
      </c>
      <c r="G36" s="9">
        <v>8</v>
      </c>
      <c r="H36" s="9">
        <f t="shared" si="0"/>
        <v>10</v>
      </c>
      <c r="I36" s="9">
        <v>7.5</v>
      </c>
      <c r="J36" s="9">
        <f t="shared" si="1"/>
        <v>9</v>
      </c>
      <c r="K36" s="7"/>
      <c r="L36" s="10" t="s">
        <v>199</v>
      </c>
      <c r="M36" s="7" t="s">
        <v>17</v>
      </c>
    </row>
    <row r="37" spans="1:13" ht="28" x14ac:dyDescent="0.35">
      <c r="A37" s="8" t="s">
        <v>151</v>
      </c>
      <c r="B37" s="7" t="s">
        <v>152</v>
      </c>
      <c r="C37" s="7" t="s">
        <v>153</v>
      </c>
      <c r="D37" s="7" t="s">
        <v>154</v>
      </c>
      <c r="E37" s="7" t="s">
        <v>191</v>
      </c>
      <c r="F37" s="9">
        <v>2</v>
      </c>
      <c r="G37" s="9">
        <v>8</v>
      </c>
      <c r="H37" s="9">
        <f t="shared" si="0"/>
        <v>10</v>
      </c>
      <c r="I37" s="9">
        <v>9.5</v>
      </c>
      <c r="J37" s="9">
        <f t="shared" si="1"/>
        <v>10</v>
      </c>
      <c r="K37" s="7"/>
      <c r="L37" s="7" t="s">
        <v>192</v>
      </c>
      <c r="M37" s="7" t="s">
        <v>17</v>
      </c>
    </row>
    <row r="38" spans="1:13" ht="28" x14ac:dyDescent="0.35">
      <c r="A38" s="8" t="s">
        <v>155</v>
      </c>
      <c r="B38" s="7" t="s">
        <v>156</v>
      </c>
      <c r="C38" s="7" t="s">
        <v>157</v>
      </c>
      <c r="D38" s="7" t="s">
        <v>158</v>
      </c>
      <c r="E38" s="7" t="s">
        <v>191</v>
      </c>
      <c r="F38" s="9">
        <v>2</v>
      </c>
      <c r="G38" s="9">
        <v>6.5</v>
      </c>
      <c r="H38" s="9">
        <f t="shared" si="0"/>
        <v>8.5</v>
      </c>
      <c r="I38" s="9">
        <v>9</v>
      </c>
      <c r="J38" s="9">
        <f t="shared" si="1"/>
        <v>9</v>
      </c>
      <c r="K38" s="7"/>
      <c r="L38" s="10" t="s">
        <v>199</v>
      </c>
      <c r="M38" s="7" t="s">
        <v>17</v>
      </c>
    </row>
    <row r="39" spans="1:13" ht="28" x14ac:dyDescent="0.35">
      <c r="A39" s="8" t="s">
        <v>159</v>
      </c>
      <c r="B39" s="7" t="s">
        <v>160</v>
      </c>
      <c r="C39" s="7" t="s">
        <v>161</v>
      </c>
      <c r="D39" s="7" t="s">
        <v>162</v>
      </c>
      <c r="E39" s="7" t="s">
        <v>190</v>
      </c>
      <c r="F39" s="9">
        <v>1.5</v>
      </c>
      <c r="G39" s="9">
        <v>7</v>
      </c>
      <c r="H39" s="9">
        <f t="shared" si="0"/>
        <v>8.5</v>
      </c>
      <c r="I39" s="9">
        <v>6</v>
      </c>
      <c r="J39" s="9">
        <f t="shared" si="1"/>
        <v>7</v>
      </c>
      <c r="K39" s="7"/>
      <c r="L39" s="7" t="s">
        <v>195</v>
      </c>
      <c r="M39" s="7" t="s">
        <v>17</v>
      </c>
    </row>
    <row r="40" spans="1:13" ht="28" x14ac:dyDescent="0.35">
      <c r="A40" s="8" t="s">
        <v>163</v>
      </c>
      <c r="B40" s="7" t="s">
        <v>164</v>
      </c>
      <c r="C40" s="7" t="s">
        <v>165</v>
      </c>
      <c r="D40" s="7" t="s">
        <v>166</v>
      </c>
      <c r="E40" s="7" t="s">
        <v>190</v>
      </c>
      <c r="F40" s="9">
        <v>1.5</v>
      </c>
      <c r="G40" s="9">
        <v>3</v>
      </c>
      <c r="H40" s="9">
        <f t="shared" si="0"/>
        <v>4.5</v>
      </c>
      <c r="I40" s="9">
        <v>6</v>
      </c>
      <c r="J40" s="9">
        <f t="shared" si="1"/>
        <v>5</v>
      </c>
      <c r="K40" s="7"/>
      <c r="L40" s="7" t="s">
        <v>194</v>
      </c>
      <c r="M40" s="7" t="s">
        <v>17</v>
      </c>
    </row>
    <row r="41" spans="1:13" ht="28" x14ac:dyDescent="0.35">
      <c r="A41" s="8" t="s">
        <v>167</v>
      </c>
      <c r="B41" s="7" t="s">
        <v>168</v>
      </c>
      <c r="C41" s="7" t="s">
        <v>169</v>
      </c>
      <c r="D41" s="7" t="s">
        <v>170</v>
      </c>
      <c r="E41" s="7" t="s">
        <v>191</v>
      </c>
      <c r="F41" s="9">
        <v>2</v>
      </c>
      <c r="G41" s="9">
        <v>8</v>
      </c>
      <c r="H41" s="9">
        <f t="shared" si="0"/>
        <v>10</v>
      </c>
      <c r="I41" s="9">
        <v>8</v>
      </c>
      <c r="J41" s="9">
        <f t="shared" si="1"/>
        <v>9</v>
      </c>
      <c r="K41" s="7"/>
      <c r="L41" s="10" t="s">
        <v>199</v>
      </c>
      <c r="M41" s="7" t="s">
        <v>17</v>
      </c>
    </row>
    <row r="42" spans="1:13" ht="28" x14ac:dyDescent="0.35">
      <c r="A42" s="8" t="s">
        <v>171</v>
      </c>
      <c r="B42" s="7" t="s">
        <v>172</v>
      </c>
      <c r="C42" s="7" t="s">
        <v>173</v>
      </c>
      <c r="D42" s="7" t="s">
        <v>174</v>
      </c>
      <c r="E42" s="7" t="s">
        <v>191</v>
      </c>
      <c r="F42" s="9">
        <v>1.5</v>
      </c>
      <c r="G42" s="9">
        <v>8</v>
      </c>
      <c r="H42" s="9">
        <f t="shared" si="0"/>
        <v>9.5</v>
      </c>
      <c r="I42" s="9">
        <v>9</v>
      </c>
      <c r="J42" s="9">
        <f t="shared" si="1"/>
        <v>9</v>
      </c>
      <c r="K42" s="7"/>
      <c r="L42" s="10" t="s">
        <v>199</v>
      </c>
      <c r="M42" s="7" t="s">
        <v>17</v>
      </c>
    </row>
    <row r="43" spans="1:13" ht="28" x14ac:dyDescent="0.35">
      <c r="A43" s="8" t="s">
        <v>175</v>
      </c>
      <c r="B43" s="7" t="s">
        <v>176</v>
      </c>
      <c r="C43" s="7" t="s">
        <v>177</v>
      </c>
      <c r="D43" s="7" t="s">
        <v>178</v>
      </c>
      <c r="E43" s="7" t="s">
        <v>190</v>
      </c>
      <c r="F43" s="9">
        <v>2</v>
      </c>
      <c r="G43" s="9">
        <v>6.5</v>
      </c>
      <c r="H43" s="9">
        <f t="shared" si="0"/>
        <v>8.5</v>
      </c>
      <c r="I43" s="9">
        <v>8</v>
      </c>
      <c r="J43" s="9">
        <f t="shared" si="1"/>
        <v>8</v>
      </c>
      <c r="K43" s="7"/>
      <c r="L43" s="7" t="s">
        <v>198</v>
      </c>
      <c r="M43" s="7" t="s">
        <v>17</v>
      </c>
    </row>
    <row r="44" spans="1:13" ht="28" x14ac:dyDescent="0.35">
      <c r="A44" s="8" t="s">
        <v>179</v>
      </c>
      <c r="B44" s="7" t="s">
        <v>180</v>
      </c>
      <c r="C44" s="7" t="s">
        <v>181</v>
      </c>
      <c r="D44" s="7" t="s">
        <v>182</v>
      </c>
      <c r="E44" s="7" t="s">
        <v>191</v>
      </c>
      <c r="F44" s="9">
        <v>2</v>
      </c>
      <c r="G44" s="9">
        <v>7.5</v>
      </c>
      <c r="H44" s="9">
        <f t="shared" si="0"/>
        <v>9.5</v>
      </c>
      <c r="I44" s="9">
        <v>8.5</v>
      </c>
      <c r="J44" s="9">
        <f t="shared" si="1"/>
        <v>9</v>
      </c>
      <c r="K44" s="7"/>
      <c r="L44" s="10" t="s">
        <v>199</v>
      </c>
      <c r="M44" s="7" t="s">
        <v>17</v>
      </c>
    </row>
    <row r="45" spans="1:13" ht="28" x14ac:dyDescent="0.35">
      <c r="A45" s="8" t="s">
        <v>183</v>
      </c>
      <c r="B45" s="7" t="s">
        <v>184</v>
      </c>
      <c r="C45" s="7" t="s">
        <v>185</v>
      </c>
      <c r="D45" s="7" t="s">
        <v>186</v>
      </c>
      <c r="E45" s="7" t="s">
        <v>191</v>
      </c>
      <c r="F45" s="9">
        <v>2</v>
      </c>
      <c r="G45" s="9">
        <v>8</v>
      </c>
      <c r="H45" s="9">
        <f t="shared" si="0"/>
        <v>10</v>
      </c>
      <c r="I45" s="9">
        <v>9.5</v>
      </c>
      <c r="J45" s="9">
        <f t="shared" si="1"/>
        <v>10</v>
      </c>
      <c r="K45" s="7"/>
      <c r="L45" s="7" t="s">
        <v>192</v>
      </c>
      <c r="M45" s="7" t="s">
        <v>17</v>
      </c>
    </row>
    <row r="46" spans="1:13" ht="28" x14ac:dyDescent="0.35">
      <c r="A46" s="8" t="s">
        <v>187</v>
      </c>
      <c r="B46" s="7" t="s">
        <v>188</v>
      </c>
      <c r="C46" s="7" t="s">
        <v>189</v>
      </c>
      <c r="D46" s="7" t="s">
        <v>68</v>
      </c>
      <c r="E46" s="7" t="s">
        <v>191</v>
      </c>
      <c r="F46" s="9">
        <v>2</v>
      </c>
      <c r="G46" s="9">
        <v>8</v>
      </c>
      <c r="H46" s="9">
        <f t="shared" si="0"/>
        <v>10</v>
      </c>
      <c r="I46" s="9">
        <v>8</v>
      </c>
      <c r="J46" s="9">
        <f t="shared" si="1"/>
        <v>9</v>
      </c>
      <c r="K46" s="7"/>
      <c r="L46" s="10" t="s">
        <v>199</v>
      </c>
      <c r="M46" s="7" t="s">
        <v>17</v>
      </c>
    </row>
    <row r="47" spans="1:13" ht="45" x14ac:dyDescent="0.35">
      <c r="A47" s="11" t="s">
        <v>1</v>
      </c>
      <c r="B47" s="11" t="s">
        <v>2</v>
      </c>
      <c r="C47" s="11" t="s">
        <v>3</v>
      </c>
      <c r="D47" s="12" t="s">
        <v>4</v>
      </c>
      <c r="E47" s="12" t="s">
        <v>5</v>
      </c>
      <c r="F47" s="12" t="s">
        <v>6</v>
      </c>
      <c r="G47" s="12" t="s">
        <v>7</v>
      </c>
      <c r="H47" s="12" t="s">
        <v>8</v>
      </c>
      <c r="I47" s="13" t="s">
        <v>9</v>
      </c>
      <c r="J47" s="12" t="s">
        <v>10</v>
      </c>
      <c r="K47" s="12" t="s">
        <v>11</v>
      </c>
      <c r="L47" s="11" t="s">
        <v>12</v>
      </c>
    </row>
    <row r="48" spans="1:13" ht="84" x14ac:dyDescent="0.35">
      <c r="A48" s="14" t="s">
        <v>14</v>
      </c>
      <c r="B48" s="14" t="s">
        <v>15</v>
      </c>
      <c r="C48" s="14" t="s">
        <v>16</v>
      </c>
      <c r="D48" s="14" t="s">
        <v>191</v>
      </c>
      <c r="E48" s="15">
        <v>2</v>
      </c>
      <c r="F48" s="15">
        <v>7</v>
      </c>
      <c r="G48" s="15">
        <f>SUM(E48,F48)</f>
        <v>9</v>
      </c>
      <c r="H48" s="15">
        <v>8.5</v>
      </c>
      <c r="I48" s="15">
        <f>ROUND((G48+H48)/2, 0)</f>
        <v>9</v>
      </c>
      <c r="J48" s="14"/>
      <c r="K48" s="10" t="s">
        <v>200</v>
      </c>
      <c r="L48" s="14" t="s">
        <v>201</v>
      </c>
    </row>
    <row r="49" spans="1:12" ht="70" x14ac:dyDescent="0.35">
      <c r="A49" s="14" t="s">
        <v>19</v>
      </c>
      <c r="B49" s="14" t="s">
        <v>20</v>
      </c>
      <c r="C49" s="14" t="s">
        <v>21</v>
      </c>
      <c r="D49" s="14" t="s">
        <v>191</v>
      </c>
      <c r="E49" s="15">
        <v>2</v>
      </c>
      <c r="F49" s="15">
        <v>7.5</v>
      </c>
      <c r="G49" s="15">
        <f t="shared" ref="G49:G92" si="2">SUM(E49,F49)</f>
        <v>9.5</v>
      </c>
      <c r="H49" s="15">
        <v>8.5</v>
      </c>
      <c r="I49" s="15">
        <f t="shared" ref="I49:I92" si="3">ROUND((G49+H49)/2, 0)</f>
        <v>9</v>
      </c>
      <c r="J49" s="14"/>
      <c r="K49" s="10" t="s">
        <v>199</v>
      </c>
      <c r="L49" s="14" t="s">
        <v>201</v>
      </c>
    </row>
    <row r="50" spans="1:12" ht="84" x14ac:dyDescent="0.35">
      <c r="A50" s="14" t="s">
        <v>23</v>
      </c>
      <c r="B50" s="14" t="s">
        <v>24</v>
      </c>
      <c r="C50" s="14" t="s">
        <v>25</v>
      </c>
      <c r="D50" s="14" t="s">
        <v>191</v>
      </c>
      <c r="E50" s="15">
        <v>2</v>
      </c>
      <c r="F50" s="15">
        <v>7</v>
      </c>
      <c r="G50" s="15">
        <f t="shared" si="2"/>
        <v>9</v>
      </c>
      <c r="H50" s="15">
        <v>9</v>
      </c>
      <c r="I50" s="15">
        <f t="shared" si="3"/>
        <v>9</v>
      </c>
      <c r="J50" s="14"/>
      <c r="K50" s="10" t="s">
        <v>200</v>
      </c>
      <c r="L50" s="14" t="s">
        <v>201</v>
      </c>
    </row>
    <row r="51" spans="1:12" ht="98" x14ac:dyDescent="0.35">
      <c r="A51" s="14" t="s">
        <v>27</v>
      </c>
      <c r="B51" s="14" t="s">
        <v>28</v>
      </c>
      <c r="C51" s="14" t="s">
        <v>29</v>
      </c>
      <c r="D51" s="14" t="s">
        <v>190</v>
      </c>
      <c r="E51" s="15">
        <v>2</v>
      </c>
      <c r="F51" s="15">
        <v>6</v>
      </c>
      <c r="G51" s="15">
        <f t="shared" si="2"/>
        <v>8</v>
      </c>
      <c r="H51" s="15">
        <v>8</v>
      </c>
      <c r="I51" s="15">
        <f t="shared" si="3"/>
        <v>8</v>
      </c>
      <c r="J51" s="14"/>
      <c r="K51" s="10" t="s">
        <v>202</v>
      </c>
      <c r="L51" s="14" t="s">
        <v>201</v>
      </c>
    </row>
    <row r="52" spans="1:12" ht="112" x14ac:dyDescent="0.35">
      <c r="A52" s="14" t="s">
        <v>31</v>
      </c>
      <c r="B52" s="14" t="s">
        <v>32</v>
      </c>
      <c r="C52" s="14" t="s">
        <v>16</v>
      </c>
      <c r="D52" s="14" t="s">
        <v>191</v>
      </c>
      <c r="E52" s="15">
        <v>2</v>
      </c>
      <c r="F52" s="15">
        <v>7.5</v>
      </c>
      <c r="G52" s="15">
        <f t="shared" si="2"/>
        <v>9.5</v>
      </c>
      <c r="H52" s="15">
        <v>10</v>
      </c>
      <c r="I52" s="15">
        <f t="shared" si="3"/>
        <v>10</v>
      </c>
      <c r="J52" s="14"/>
      <c r="K52" s="10" t="s">
        <v>203</v>
      </c>
      <c r="L52" s="14" t="s">
        <v>201</v>
      </c>
    </row>
    <row r="53" spans="1:12" ht="112" x14ac:dyDescent="0.35">
      <c r="A53" s="14" t="s">
        <v>34</v>
      </c>
      <c r="B53" s="14" t="s">
        <v>35</v>
      </c>
      <c r="C53" s="14" t="s">
        <v>36</v>
      </c>
      <c r="D53" s="14" t="s">
        <v>191</v>
      </c>
      <c r="E53" s="15">
        <v>2</v>
      </c>
      <c r="F53" s="15">
        <v>7.5</v>
      </c>
      <c r="G53" s="15">
        <f t="shared" si="2"/>
        <v>9.5</v>
      </c>
      <c r="H53" s="15">
        <v>10</v>
      </c>
      <c r="I53" s="15">
        <f t="shared" si="3"/>
        <v>10</v>
      </c>
      <c r="J53" s="14"/>
      <c r="K53" s="10" t="s">
        <v>204</v>
      </c>
      <c r="L53" s="14" t="s">
        <v>201</v>
      </c>
    </row>
    <row r="54" spans="1:12" ht="70" x14ac:dyDescent="0.35">
      <c r="A54" s="14" t="s">
        <v>38</v>
      </c>
      <c r="B54" s="14" t="s">
        <v>39</v>
      </c>
      <c r="C54" s="14" t="s">
        <v>40</v>
      </c>
      <c r="D54" s="14" t="s">
        <v>191</v>
      </c>
      <c r="E54" s="15">
        <v>2</v>
      </c>
      <c r="F54" s="15">
        <v>7.5</v>
      </c>
      <c r="G54" s="15">
        <f t="shared" si="2"/>
        <v>9.5</v>
      </c>
      <c r="H54" s="15">
        <v>9</v>
      </c>
      <c r="I54" s="15">
        <f t="shared" si="3"/>
        <v>9</v>
      </c>
      <c r="J54" s="14"/>
      <c r="K54" s="10" t="s">
        <v>199</v>
      </c>
      <c r="L54" s="14" t="s">
        <v>201</v>
      </c>
    </row>
    <row r="55" spans="1:12" ht="112" x14ac:dyDescent="0.35">
      <c r="A55" s="14" t="s">
        <v>42</v>
      </c>
      <c r="B55" s="14" t="s">
        <v>43</v>
      </c>
      <c r="C55" s="14" t="s">
        <v>44</v>
      </c>
      <c r="D55" s="14" t="s">
        <v>190</v>
      </c>
      <c r="E55" s="15">
        <v>2</v>
      </c>
      <c r="F55" s="15">
        <v>7.5</v>
      </c>
      <c r="G55" s="15">
        <f t="shared" si="2"/>
        <v>9.5</v>
      </c>
      <c r="H55" s="15">
        <v>7</v>
      </c>
      <c r="I55" s="15">
        <f t="shared" si="3"/>
        <v>8</v>
      </c>
      <c r="J55" s="14"/>
      <c r="K55" s="10" t="s">
        <v>205</v>
      </c>
      <c r="L55" s="14" t="s">
        <v>201</v>
      </c>
    </row>
    <row r="56" spans="1:12" ht="112" x14ac:dyDescent="0.35">
      <c r="A56" s="10" t="s">
        <v>46</v>
      </c>
      <c r="B56" s="10" t="s">
        <v>47</v>
      </c>
      <c r="C56" s="10" t="s">
        <v>48</v>
      </c>
      <c r="D56" s="14" t="s">
        <v>191</v>
      </c>
      <c r="E56" s="15">
        <v>2</v>
      </c>
      <c r="F56" s="15">
        <v>7.5</v>
      </c>
      <c r="G56" s="15">
        <f t="shared" si="2"/>
        <v>9.5</v>
      </c>
      <c r="H56" s="15">
        <v>9.5</v>
      </c>
      <c r="I56" s="15">
        <f t="shared" si="3"/>
        <v>10</v>
      </c>
      <c r="J56" s="14"/>
      <c r="K56" s="16" t="s">
        <v>204</v>
      </c>
      <c r="L56" s="14" t="s">
        <v>201</v>
      </c>
    </row>
    <row r="57" spans="1:12" ht="70" x14ac:dyDescent="0.35">
      <c r="A57" s="10" t="s">
        <v>50</v>
      </c>
      <c r="B57" s="10" t="s">
        <v>51</v>
      </c>
      <c r="C57" s="10" t="s">
        <v>52</v>
      </c>
      <c r="D57" s="14" t="s">
        <v>191</v>
      </c>
      <c r="E57" s="15">
        <v>2</v>
      </c>
      <c r="F57" s="15">
        <v>7.5</v>
      </c>
      <c r="G57" s="15">
        <f t="shared" si="2"/>
        <v>9.5</v>
      </c>
      <c r="H57" s="15">
        <v>8.5</v>
      </c>
      <c r="I57" s="15">
        <f t="shared" si="3"/>
        <v>9</v>
      </c>
      <c r="J57" s="14"/>
      <c r="K57" s="16" t="s">
        <v>199</v>
      </c>
      <c r="L57" s="14" t="s">
        <v>201</v>
      </c>
    </row>
    <row r="58" spans="1:12" ht="84" x14ac:dyDescent="0.35">
      <c r="A58" s="10" t="s">
        <v>54</v>
      </c>
      <c r="B58" s="10" t="s">
        <v>55</v>
      </c>
      <c r="C58" s="10" t="s">
        <v>56</v>
      </c>
      <c r="D58" s="14" t="s">
        <v>191</v>
      </c>
      <c r="E58" s="15">
        <v>2</v>
      </c>
      <c r="F58" s="15">
        <v>7</v>
      </c>
      <c r="G58" s="15">
        <f t="shared" si="2"/>
        <v>9</v>
      </c>
      <c r="H58" s="15">
        <v>8</v>
      </c>
      <c r="I58" s="15">
        <f t="shared" si="3"/>
        <v>9</v>
      </c>
      <c r="J58" s="14"/>
      <c r="K58" s="16" t="s">
        <v>200</v>
      </c>
      <c r="L58" s="14" t="s">
        <v>201</v>
      </c>
    </row>
    <row r="59" spans="1:12" ht="70" x14ac:dyDescent="0.35">
      <c r="A59" s="14" t="s">
        <v>58</v>
      </c>
      <c r="B59" s="14" t="s">
        <v>59</v>
      </c>
      <c r="C59" s="14" t="s">
        <v>60</v>
      </c>
      <c r="D59" s="14" t="s">
        <v>191</v>
      </c>
      <c r="E59" s="15">
        <v>2</v>
      </c>
      <c r="F59" s="15">
        <v>8</v>
      </c>
      <c r="G59" s="15">
        <f t="shared" si="2"/>
        <v>10</v>
      </c>
      <c r="H59" s="15">
        <v>8.5</v>
      </c>
      <c r="I59" s="15">
        <f t="shared" si="3"/>
        <v>9</v>
      </c>
      <c r="J59" s="14"/>
      <c r="K59" s="10" t="s">
        <v>199</v>
      </c>
      <c r="L59" s="14" t="s">
        <v>201</v>
      </c>
    </row>
    <row r="60" spans="1:12" ht="98" x14ac:dyDescent="0.35">
      <c r="A60" s="14" t="s">
        <v>62</v>
      </c>
      <c r="B60" s="14" t="s">
        <v>63</v>
      </c>
      <c r="C60" s="14" t="s">
        <v>64</v>
      </c>
      <c r="D60" s="14" t="s">
        <v>190</v>
      </c>
      <c r="E60" s="15">
        <v>1.5</v>
      </c>
      <c r="F60" s="15">
        <v>5.5</v>
      </c>
      <c r="G60" s="15">
        <f t="shared" si="2"/>
        <v>7</v>
      </c>
      <c r="H60" s="15">
        <v>9</v>
      </c>
      <c r="I60" s="15">
        <f t="shared" si="3"/>
        <v>8</v>
      </c>
      <c r="J60" s="14"/>
      <c r="K60" s="10" t="s">
        <v>206</v>
      </c>
      <c r="L60" s="14" t="s">
        <v>201</v>
      </c>
    </row>
    <row r="61" spans="1:12" ht="70" x14ac:dyDescent="0.35">
      <c r="A61" s="14" t="s">
        <v>66</v>
      </c>
      <c r="B61" s="14" t="s">
        <v>67</v>
      </c>
      <c r="C61" s="14" t="s">
        <v>68</v>
      </c>
      <c r="D61" s="14" t="s">
        <v>191</v>
      </c>
      <c r="E61" s="15">
        <v>2</v>
      </c>
      <c r="F61" s="15">
        <v>8</v>
      </c>
      <c r="G61" s="15">
        <f t="shared" si="2"/>
        <v>10</v>
      </c>
      <c r="H61" s="15">
        <v>8</v>
      </c>
      <c r="I61" s="15">
        <f t="shared" si="3"/>
        <v>9</v>
      </c>
      <c r="J61" s="14"/>
      <c r="K61" s="10" t="s">
        <v>199</v>
      </c>
      <c r="L61" s="14" t="s">
        <v>201</v>
      </c>
    </row>
    <row r="62" spans="1:12" ht="84" x14ac:dyDescent="0.35">
      <c r="A62" s="14" t="s">
        <v>70</v>
      </c>
      <c r="B62" s="14" t="s">
        <v>71</v>
      </c>
      <c r="C62" s="14" t="s">
        <v>72</v>
      </c>
      <c r="D62" s="14" t="s">
        <v>191</v>
      </c>
      <c r="E62" s="15">
        <v>2</v>
      </c>
      <c r="F62" s="15">
        <v>7</v>
      </c>
      <c r="G62" s="15">
        <f t="shared" si="2"/>
        <v>9</v>
      </c>
      <c r="H62" s="15">
        <v>8.5</v>
      </c>
      <c r="I62" s="15">
        <f t="shared" si="3"/>
        <v>9</v>
      </c>
      <c r="J62" s="14"/>
      <c r="K62" s="10" t="s">
        <v>200</v>
      </c>
      <c r="L62" s="14" t="s">
        <v>201</v>
      </c>
    </row>
    <row r="63" spans="1:12" ht="112" x14ac:dyDescent="0.35">
      <c r="A63" s="14" t="s">
        <v>74</v>
      </c>
      <c r="B63" s="14" t="s">
        <v>75</v>
      </c>
      <c r="C63" s="14" t="s">
        <v>76</v>
      </c>
      <c r="D63" s="14" t="s">
        <v>191</v>
      </c>
      <c r="E63" s="15">
        <v>2</v>
      </c>
      <c r="F63" s="15">
        <v>7.5</v>
      </c>
      <c r="G63" s="15">
        <f t="shared" si="2"/>
        <v>9.5</v>
      </c>
      <c r="H63" s="15">
        <v>9.5</v>
      </c>
      <c r="I63" s="15">
        <f t="shared" si="3"/>
        <v>10</v>
      </c>
      <c r="J63" s="14"/>
      <c r="K63" s="10" t="s">
        <v>203</v>
      </c>
      <c r="L63" s="14" t="s">
        <v>201</v>
      </c>
    </row>
    <row r="64" spans="1:12" ht="98" x14ac:dyDescent="0.35">
      <c r="A64" s="14" t="s">
        <v>78</v>
      </c>
      <c r="B64" s="14" t="s">
        <v>79</v>
      </c>
      <c r="C64" s="14" t="s">
        <v>48</v>
      </c>
      <c r="D64" s="14" t="s">
        <v>190</v>
      </c>
      <c r="E64" s="15">
        <v>1.5</v>
      </c>
      <c r="F64" s="15">
        <v>7</v>
      </c>
      <c r="G64" s="15">
        <f t="shared" si="2"/>
        <v>8.5</v>
      </c>
      <c r="H64" s="15">
        <v>5</v>
      </c>
      <c r="I64" s="15">
        <f t="shared" si="3"/>
        <v>7</v>
      </c>
      <c r="J64" s="14"/>
      <c r="K64" s="10" t="s">
        <v>202</v>
      </c>
      <c r="L64" s="14" t="s">
        <v>201</v>
      </c>
    </row>
    <row r="65" spans="1:12" ht="112" x14ac:dyDescent="0.35">
      <c r="A65" s="14" t="s">
        <v>81</v>
      </c>
      <c r="B65" s="14" t="s">
        <v>82</v>
      </c>
      <c r="C65" s="14" t="s">
        <v>83</v>
      </c>
      <c r="D65" s="14" t="s">
        <v>190</v>
      </c>
      <c r="E65" s="15">
        <v>1.5</v>
      </c>
      <c r="F65" s="15">
        <v>6</v>
      </c>
      <c r="G65" s="15">
        <f t="shared" si="2"/>
        <v>7.5</v>
      </c>
      <c r="H65" s="15">
        <v>6</v>
      </c>
      <c r="I65" s="15">
        <f t="shared" si="3"/>
        <v>7</v>
      </c>
      <c r="J65" s="14"/>
      <c r="K65" s="10" t="s">
        <v>205</v>
      </c>
      <c r="L65" s="14" t="s">
        <v>201</v>
      </c>
    </row>
    <row r="66" spans="1:12" ht="98" x14ac:dyDescent="0.35">
      <c r="A66" s="14" t="s">
        <v>85</v>
      </c>
      <c r="B66" s="14" t="s">
        <v>86</v>
      </c>
      <c r="C66" s="14" t="s">
        <v>87</v>
      </c>
      <c r="D66" s="14" t="s">
        <v>190</v>
      </c>
      <c r="E66" s="15">
        <v>2</v>
      </c>
      <c r="F66" s="15">
        <v>4.5</v>
      </c>
      <c r="G66" s="15">
        <f t="shared" si="2"/>
        <v>6.5</v>
      </c>
      <c r="H66" s="15">
        <v>7</v>
      </c>
      <c r="I66" s="15">
        <f t="shared" si="3"/>
        <v>7</v>
      </c>
      <c r="J66" s="14"/>
      <c r="K66" s="10" t="s">
        <v>206</v>
      </c>
      <c r="L66" s="14" t="s">
        <v>201</v>
      </c>
    </row>
    <row r="67" spans="1:12" ht="112" x14ac:dyDescent="0.35">
      <c r="A67" s="14" t="s">
        <v>89</v>
      </c>
      <c r="B67" s="14" t="s">
        <v>90</v>
      </c>
      <c r="C67" s="14" t="s">
        <v>91</v>
      </c>
      <c r="D67" s="14" t="s">
        <v>191</v>
      </c>
      <c r="E67" s="15">
        <v>2</v>
      </c>
      <c r="F67" s="15">
        <v>8</v>
      </c>
      <c r="G67" s="15">
        <f t="shared" si="2"/>
        <v>10</v>
      </c>
      <c r="H67" s="15">
        <v>9</v>
      </c>
      <c r="I67" s="15">
        <f t="shared" si="3"/>
        <v>10</v>
      </c>
      <c r="J67" s="14"/>
      <c r="K67" s="10" t="s">
        <v>203</v>
      </c>
      <c r="L67" s="14" t="s">
        <v>201</v>
      </c>
    </row>
    <row r="68" spans="1:12" ht="112" x14ac:dyDescent="0.35">
      <c r="A68" s="14" t="s">
        <v>93</v>
      </c>
      <c r="B68" s="14" t="s">
        <v>94</v>
      </c>
      <c r="C68" s="14" t="s">
        <v>95</v>
      </c>
      <c r="D68" s="14" t="s">
        <v>190</v>
      </c>
      <c r="E68" s="15">
        <v>2</v>
      </c>
      <c r="F68" s="15">
        <v>6</v>
      </c>
      <c r="G68" s="15">
        <f t="shared" si="2"/>
        <v>8</v>
      </c>
      <c r="H68" s="15">
        <v>8.5</v>
      </c>
      <c r="I68" s="15">
        <f t="shared" si="3"/>
        <v>8</v>
      </c>
      <c r="J68" s="14"/>
      <c r="K68" s="10" t="s">
        <v>205</v>
      </c>
      <c r="L68" s="14" t="s">
        <v>201</v>
      </c>
    </row>
    <row r="69" spans="1:12" ht="84" x14ac:dyDescent="0.35">
      <c r="A69" s="14" t="s">
        <v>97</v>
      </c>
      <c r="B69" s="14" t="s">
        <v>98</v>
      </c>
      <c r="C69" s="14" t="s">
        <v>99</v>
      </c>
      <c r="D69" s="14" t="s">
        <v>191</v>
      </c>
      <c r="E69" s="15">
        <v>2</v>
      </c>
      <c r="F69" s="15">
        <v>7</v>
      </c>
      <c r="G69" s="15">
        <f t="shared" si="2"/>
        <v>9</v>
      </c>
      <c r="H69" s="15">
        <v>8.5</v>
      </c>
      <c r="I69" s="15">
        <f t="shared" si="3"/>
        <v>9</v>
      </c>
      <c r="J69" s="14"/>
      <c r="K69" s="10" t="s">
        <v>200</v>
      </c>
      <c r="L69" s="14" t="s">
        <v>201</v>
      </c>
    </row>
    <row r="70" spans="1:12" ht="70" x14ac:dyDescent="0.35">
      <c r="A70" s="14" t="s">
        <v>101</v>
      </c>
      <c r="B70" s="14" t="s">
        <v>102</v>
      </c>
      <c r="C70" s="14" t="s">
        <v>103</v>
      </c>
      <c r="D70" s="14" t="s">
        <v>191</v>
      </c>
      <c r="E70" s="15">
        <v>2</v>
      </c>
      <c r="F70" s="15">
        <v>8</v>
      </c>
      <c r="G70" s="15">
        <f t="shared" si="2"/>
        <v>10</v>
      </c>
      <c r="H70" s="15">
        <v>8.5</v>
      </c>
      <c r="I70" s="15">
        <f t="shared" si="3"/>
        <v>9</v>
      </c>
      <c r="J70" s="14"/>
      <c r="K70" s="10" t="s">
        <v>199</v>
      </c>
      <c r="L70" s="14" t="s">
        <v>201</v>
      </c>
    </row>
    <row r="71" spans="1:12" ht="70" x14ac:dyDescent="0.35">
      <c r="A71" s="14" t="s">
        <v>105</v>
      </c>
      <c r="B71" s="14" t="s">
        <v>106</v>
      </c>
      <c r="C71" s="14" t="s">
        <v>107</v>
      </c>
      <c r="D71" s="14" t="s">
        <v>191</v>
      </c>
      <c r="E71" s="15">
        <v>2</v>
      </c>
      <c r="F71" s="15">
        <v>7.5</v>
      </c>
      <c r="G71" s="15">
        <f t="shared" si="2"/>
        <v>9.5</v>
      </c>
      <c r="H71" s="15">
        <v>9</v>
      </c>
      <c r="I71" s="15">
        <f t="shared" si="3"/>
        <v>9</v>
      </c>
      <c r="J71" s="14"/>
      <c r="K71" s="10" t="s">
        <v>199</v>
      </c>
      <c r="L71" s="14" t="s">
        <v>201</v>
      </c>
    </row>
    <row r="72" spans="1:12" ht="84" x14ac:dyDescent="0.35">
      <c r="A72" s="14" t="s">
        <v>109</v>
      </c>
      <c r="B72" s="14" t="s">
        <v>110</v>
      </c>
      <c r="C72" s="14" t="s">
        <v>111</v>
      </c>
      <c r="D72" s="14" t="s">
        <v>191</v>
      </c>
      <c r="E72" s="15">
        <v>2</v>
      </c>
      <c r="F72" s="15">
        <v>7</v>
      </c>
      <c r="G72" s="15">
        <f t="shared" si="2"/>
        <v>9</v>
      </c>
      <c r="H72" s="15">
        <v>9</v>
      </c>
      <c r="I72" s="15">
        <f t="shared" si="3"/>
        <v>9</v>
      </c>
      <c r="J72" s="14"/>
      <c r="K72" s="10" t="s">
        <v>200</v>
      </c>
      <c r="L72" s="14" t="s">
        <v>201</v>
      </c>
    </row>
    <row r="73" spans="1:12" ht="70" x14ac:dyDescent="0.35">
      <c r="A73" s="14" t="s">
        <v>113</v>
      </c>
      <c r="B73" s="14" t="s">
        <v>114</v>
      </c>
      <c r="C73" s="14" t="s">
        <v>115</v>
      </c>
      <c r="D73" s="14" t="s">
        <v>191</v>
      </c>
      <c r="E73" s="15">
        <v>2</v>
      </c>
      <c r="F73" s="15">
        <v>7.5</v>
      </c>
      <c r="G73" s="15">
        <f t="shared" si="2"/>
        <v>9.5</v>
      </c>
      <c r="H73" s="15">
        <v>9</v>
      </c>
      <c r="I73" s="15">
        <f t="shared" si="3"/>
        <v>9</v>
      </c>
      <c r="J73" s="14"/>
      <c r="K73" s="10" t="s">
        <v>199</v>
      </c>
      <c r="L73" s="14" t="s">
        <v>201</v>
      </c>
    </row>
    <row r="74" spans="1:12" ht="84" x14ac:dyDescent="0.35">
      <c r="A74" s="14" t="s">
        <v>117</v>
      </c>
      <c r="B74" s="14" t="s">
        <v>118</v>
      </c>
      <c r="C74" s="14" t="s">
        <v>119</v>
      </c>
      <c r="D74" s="14" t="s">
        <v>191</v>
      </c>
      <c r="E74" s="15">
        <v>2</v>
      </c>
      <c r="F74" s="15">
        <v>6.5</v>
      </c>
      <c r="G74" s="15">
        <f t="shared" si="2"/>
        <v>8.5</v>
      </c>
      <c r="H74" s="15">
        <v>9.5</v>
      </c>
      <c r="I74" s="15">
        <f t="shared" si="3"/>
        <v>9</v>
      </c>
      <c r="J74" s="14"/>
      <c r="K74" s="10" t="s">
        <v>200</v>
      </c>
      <c r="L74" s="14" t="s">
        <v>201</v>
      </c>
    </row>
    <row r="75" spans="1:12" ht="84" x14ac:dyDescent="0.35">
      <c r="A75" s="14" t="s">
        <v>121</v>
      </c>
      <c r="B75" s="14" t="s">
        <v>122</v>
      </c>
      <c r="C75" s="14" t="s">
        <v>123</v>
      </c>
      <c r="D75" s="14" t="s">
        <v>191</v>
      </c>
      <c r="E75" s="15">
        <v>2</v>
      </c>
      <c r="F75" s="15">
        <v>6.5</v>
      </c>
      <c r="G75" s="15">
        <f t="shared" si="2"/>
        <v>8.5</v>
      </c>
      <c r="H75" s="15">
        <v>9.5</v>
      </c>
      <c r="I75" s="15">
        <f t="shared" si="3"/>
        <v>9</v>
      </c>
      <c r="J75" s="14"/>
      <c r="K75" s="10" t="s">
        <v>200</v>
      </c>
      <c r="L75" s="14" t="s">
        <v>201</v>
      </c>
    </row>
    <row r="76" spans="1:12" ht="70" x14ac:dyDescent="0.35">
      <c r="A76" s="14" t="s">
        <v>125</v>
      </c>
      <c r="B76" s="14" t="s">
        <v>126</v>
      </c>
      <c r="C76" s="14" t="s">
        <v>127</v>
      </c>
      <c r="D76" s="14" t="s">
        <v>191</v>
      </c>
      <c r="E76" s="15">
        <v>2</v>
      </c>
      <c r="F76" s="15">
        <v>7.5</v>
      </c>
      <c r="G76" s="15">
        <f t="shared" si="2"/>
        <v>9.5</v>
      </c>
      <c r="H76" s="15">
        <v>9</v>
      </c>
      <c r="I76" s="15">
        <f t="shared" si="3"/>
        <v>9</v>
      </c>
      <c r="J76" s="14"/>
      <c r="K76" s="10" t="s">
        <v>199</v>
      </c>
      <c r="L76" s="14" t="s">
        <v>201</v>
      </c>
    </row>
    <row r="77" spans="1:12" ht="112" x14ac:dyDescent="0.35">
      <c r="A77" s="14" t="s">
        <v>129</v>
      </c>
      <c r="B77" s="14" t="s">
        <v>130</v>
      </c>
      <c r="C77" s="14" t="s">
        <v>131</v>
      </c>
      <c r="D77" s="14" t="s">
        <v>191</v>
      </c>
      <c r="E77" s="15">
        <v>2</v>
      </c>
      <c r="F77" s="15">
        <v>7.5</v>
      </c>
      <c r="G77" s="15">
        <f t="shared" si="2"/>
        <v>9.5</v>
      </c>
      <c r="H77" s="15">
        <v>9.5</v>
      </c>
      <c r="I77" s="15">
        <f t="shared" si="3"/>
        <v>10</v>
      </c>
      <c r="J77" s="14"/>
      <c r="K77" s="10" t="s">
        <v>204</v>
      </c>
      <c r="L77" s="14" t="s">
        <v>201</v>
      </c>
    </row>
    <row r="78" spans="1:12" ht="84" x14ac:dyDescent="0.35">
      <c r="A78" s="14" t="s">
        <v>133</v>
      </c>
      <c r="B78" s="14" t="s">
        <v>134</v>
      </c>
      <c r="C78" s="14" t="s">
        <v>135</v>
      </c>
      <c r="D78" s="14" t="s">
        <v>191</v>
      </c>
      <c r="E78" s="15">
        <v>2</v>
      </c>
      <c r="F78" s="15">
        <v>6.5</v>
      </c>
      <c r="G78" s="15">
        <f t="shared" si="2"/>
        <v>8.5</v>
      </c>
      <c r="H78" s="15">
        <v>8.5</v>
      </c>
      <c r="I78" s="15">
        <f t="shared" si="3"/>
        <v>9</v>
      </c>
      <c r="J78" s="14"/>
      <c r="K78" s="10" t="s">
        <v>200</v>
      </c>
      <c r="L78" s="14" t="s">
        <v>201</v>
      </c>
    </row>
    <row r="79" spans="1:12" ht="112" x14ac:dyDescent="0.35">
      <c r="A79" s="14" t="s">
        <v>137</v>
      </c>
      <c r="B79" s="14" t="s">
        <v>138</v>
      </c>
      <c r="C79" s="14" t="s">
        <v>76</v>
      </c>
      <c r="D79" s="14" t="s">
        <v>190</v>
      </c>
      <c r="E79" s="15">
        <v>2</v>
      </c>
      <c r="F79" s="15">
        <v>7</v>
      </c>
      <c r="G79" s="15">
        <f t="shared" si="2"/>
        <v>9</v>
      </c>
      <c r="H79" s="15">
        <v>7.5</v>
      </c>
      <c r="I79" s="15">
        <f t="shared" si="3"/>
        <v>8</v>
      </c>
      <c r="J79" s="14"/>
      <c r="K79" s="10" t="s">
        <v>205</v>
      </c>
      <c r="L79" s="14" t="s">
        <v>201</v>
      </c>
    </row>
    <row r="80" spans="1:12" ht="112" x14ac:dyDescent="0.35">
      <c r="A80" s="14" t="s">
        <v>140</v>
      </c>
      <c r="B80" s="14" t="s">
        <v>141</v>
      </c>
      <c r="C80" s="14" t="s">
        <v>142</v>
      </c>
      <c r="D80" s="14" t="s">
        <v>190</v>
      </c>
      <c r="E80" s="15">
        <v>1.5</v>
      </c>
      <c r="F80" s="15">
        <v>7</v>
      </c>
      <c r="G80" s="15">
        <f t="shared" si="2"/>
        <v>8.5</v>
      </c>
      <c r="H80" s="15">
        <v>8</v>
      </c>
      <c r="I80" s="15">
        <f t="shared" si="3"/>
        <v>8</v>
      </c>
      <c r="J80" s="14"/>
      <c r="K80" s="10" t="s">
        <v>205</v>
      </c>
      <c r="L80" s="14" t="s">
        <v>201</v>
      </c>
    </row>
    <row r="81" spans="1:12" ht="112" x14ac:dyDescent="0.35">
      <c r="A81" s="14" t="s">
        <v>144</v>
      </c>
      <c r="B81" s="14" t="s">
        <v>145</v>
      </c>
      <c r="C81" s="14" t="s">
        <v>146</v>
      </c>
      <c r="D81" s="14" t="s">
        <v>191</v>
      </c>
      <c r="E81" s="15">
        <v>2</v>
      </c>
      <c r="F81" s="15">
        <v>7.5</v>
      </c>
      <c r="G81" s="15">
        <f t="shared" si="2"/>
        <v>9.5</v>
      </c>
      <c r="H81" s="15">
        <v>9.5</v>
      </c>
      <c r="I81" s="15">
        <f t="shared" si="3"/>
        <v>10</v>
      </c>
      <c r="J81" s="14"/>
      <c r="K81" s="10" t="s">
        <v>204</v>
      </c>
      <c r="L81" s="14" t="s">
        <v>201</v>
      </c>
    </row>
    <row r="82" spans="1:12" ht="84" x14ac:dyDescent="0.35">
      <c r="A82" s="14" t="s">
        <v>148</v>
      </c>
      <c r="B82" s="14" t="s">
        <v>149</v>
      </c>
      <c r="C82" s="14" t="s">
        <v>150</v>
      </c>
      <c r="D82" s="14" t="s">
        <v>191</v>
      </c>
      <c r="E82" s="15">
        <v>2</v>
      </c>
      <c r="F82" s="15">
        <v>7</v>
      </c>
      <c r="G82" s="15">
        <f t="shared" si="2"/>
        <v>9</v>
      </c>
      <c r="H82" s="15">
        <v>9</v>
      </c>
      <c r="I82" s="15">
        <f t="shared" si="3"/>
        <v>9</v>
      </c>
      <c r="J82" s="14"/>
      <c r="K82" s="10" t="s">
        <v>200</v>
      </c>
      <c r="L82" s="14" t="s">
        <v>201</v>
      </c>
    </row>
    <row r="83" spans="1:12" ht="112" x14ac:dyDescent="0.35">
      <c r="A83" s="14" t="s">
        <v>152</v>
      </c>
      <c r="B83" s="14" t="s">
        <v>153</v>
      </c>
      <c r="C83" s="14" t="s">
        <v>154</v>
      </c>
      <c r="D83" s="14" t="s">
        <v>191</v>
      </c>
      <c r="E83" s="15">
        <v>2</v>
      </c>
      <c r="F83" s="15">
        <v>7.5</v>
      </c>
      <c r="G83" s="15">
        <f t="shared" si="2"/>
        <v>9.5</v>
      </c>
      <c r="H83" s="15">
        <v>10</v>
      </c>
      <c r="I83" s="15">
        <f t="shared" si="3"/>
        <v>10</v>
      </c>
      <c r="J83" s="14"/>
      <c r="K83" s="10" t="s">
        <v>203</v>
      </c>
      <c r="L83" s="14" t="s">
        <v>201</v>
      </c>
    </row>
    <row r="84" spans="1:12" ht="112" x14ac:dyDescent="0.35">
      <c r="A84" s="14" t="s">
        <v>156</v>
      </c>
      <c r="B84" s="14" t="s">
        <v>157</v>
      </c>
      <c r="C84" s="14" t="s">
        <v>158</v>
      </c>
      <c r="D84" s="14" t="s">
        <v>191</v>
      </c>
      <c r="E84" s="15">
        <v>2</v>
      </c>
      <c r="F84" s="15">
        <v>8</v>
      </c>
      <c r="G84" s="15">
        <f t="shared" si="2"/>
        <v>10</v>
      </c>
      <c r="H84" s="15">
        <v>9</v>
      </c>
      <c r="I84" s="15">
        <f t="shared" si="3"/>
        <v>10</v>
      </c>
      <c r="J84" s="14"/>
      <c r="K84" s="10" t="s">
        <v>203</v>
      </c>
      <c r="L84" s="14" t="s">
        <v>201</v>
      </c>
    </row>
    <row r="85" spans="1:12" ht="98" x14ac:dyDescent="0.35">
      <c r="A85" s="14" t="s">
        <v>160</v>
      </c>
      <c r="B85" s="14" t="s">
        <v>161</v>
      </c>
      <c r="C85" s="14" t="s">
        <v>162</v>
      </c>
      <c r="D85" s="14" t="s">
        <v>190</v>
      </c>
      <c r="E85" s="15">
        <v>1.5</v>
      </c>
      <c r="F85" s="15">
        <v>5</v>
      </c>
      <c r="G85" s="15">
        <f t="shared" si="2"/>
        <v>6.5</v>
      </c>
      <c r="H85" s="15">
        <v>8</v>
      </c>
      <c r="I85" s="15">
        <f t="shared" si="3"/>
        <v>7</v>
      </c>
      <c r="J85" s="14"/>
      <c r="K85" s="10" t="s">
        <v>202</v>
      </c>
      <c r="L85" s="14" t="s">
        <v>201</v>
      </c>
    </row>
    <row r="86" spans="1:12" ht="112" x14ac:dyDescent="0.35">
      <c r="A86" s="14" t="s">
        <v>164</v>
      </c>
      <c r="B86" s="14" t="s">
        <v>165</v>
      </c>
      <c r="C86" s="14" t="s">
        <v>166</v>
      </c>
      <c r="D86" s="14" t="s">
        <v>190</v>
      </c>
      <c r="E86" s="15">
        <v>2</v>
      </c>
      <c r="F86" s="15">
        <v>6.5</v>
      </c>
      <c r="G86" s="15">
        <f t="shared" si="2"/>
        <v>8.5</v>
      </c>
      <c r="H86" s="15">
        <v>7</v>
      </c>
      <c r="I86" s="15">
        <f t="shared" si="3"/>
        <v>8</v>
      </c>
      <c r="J86" s="14"/>
      <c r="K86" s="10" t="s">
        <v>205</v>
      </c>
      <c r="L86" s="14" t="s">
        <v>201</v>
      </c>
    </row>
    <row r="87" spans="1:12" ht="70" x14ac:dyDescent="0.35">
      <c r="A87" s="14" t="s">
        <v>168</v>
      </c>
      <c r="B87" s="14" t="s">
        <v>169</v>
      </c>
      <c r="C87" s="14" t="s">
        <v>170</v>
      </c>
      <c r="D87" s="14" t="s">
        <v>191</v>
      </c>
      <c r="E87" s="15">
        <v>2</v>
      </c>
      <c r="F87" s="15">
        <v>7.5</v>
      </c>
      <c r="G87" s="15">
        <f t="shared" si="2"/>
        <v>9.5</v>
      </c>
      <c r="H87" s="15">
        <v>9</v>
      </c>
      <c r="I87" s="15">
        <f t="shared" si="3"/>
        <v>9</v>
      </c>
      <c r="J87" s="14"/>
      <c r="K87" s="10" t="s">
        <v>199</v>
      </c>
      <c r="L87" s="14" t="s">
        <v>201</v>
      </c>
    </row>
    <row r="88" spans="1:12" ht="112" x14ac:dyDescent="0.35">
      <c r="A88" s="14" t="s">
        <v>172</v>
      </c>
      <c r="B88" s="14" t="s">
        <v>173</v>
      </c>
      <c r="C88" s="14" t="s">
        <v>174</v>
      </c>
      <c r="D88" s="14" t="s">
        <v>190</v>
      </c>
      <c r="E88" s="15">
        <v>2</v>
      </c>
      <c r="F88" s="15">
        <v>6.5</v>
      </c>
      <c r="G88" s="15">
        <f t="shared" si="2"/>
        <v>8.5</v>
      </c>
      <c r="H88" s="15">
        <v>8</v>
      </c>
      <c r="I88" s="15">
        <f t="shared" si="3"/>
        <v>8</v>
      </c>
      <c r="J88" s="14"/>
      <c r="K88" s="10" t="s">
        <v>205</v>
      </c>
      <c r="L88" s="14" t="s">
        <v>201</v>
      </c>
    </row>
    <row r="89" spans="1:12" ht="70" x14ac:dyDescent="0.35">
      <c r="A89" s="14" t="s">
        <v>176</v>
      </c>
      <c r="B89" s="14" t="s">
        <v>177</v>
      </c>
      <c r="C89" s="14" t="s">
        <v>178</v>
      </c>
      <c r="D89" s="14" t="s">
        <v>191</v>
      </c>
      <c r="E89" s="15">
        <v>2</v>
      </c>
      <c r="F89" s="15">
        <v>7.5</v>
      </c>
      <c r="G89" s="15">
        <f t="shared" si="2"/>
        <v>9.5</v>
      </c>
      <c r="H89" s="15">
        <v>8.5</v>
      </c>
      <c r="I89" s="15">
        <f t="shared" si="3"/>
        <v>9</v>
      </c>
      <c r="J89" s="14"/>
      <c r="K89" s="10" t="s">
        <v>199</v>
      </c>
      <c r="L89" s="14" t="s">
        <v>201</v>
      </c>
    </row>
    <row r="90" spans="1:12" ht="70" x14ac:dyDescent="0.35">
      <c r="A90" s="14" t="s">
        <v>180</v>
      </c>
      <c r="B90" s="14" t="s">
        <v>181</v>
      </c>
      <c r="C90" s="14" t="s">
        <v>182</v>
      </c>
      <c r="D90" s="14" t="s">
        <v>191</v>
      </c>
      <c r="E90" s="15">
        <v>2</v>
      </c>
      <c r="F90" s="15">
        <v>7.5</v>
      </c>
      <c r="G90" s="15">
        <f t="shared" si="2"/>
        <v>9.5</v>
      </c>
      <c r="H90" s="15">
        <v>9</v>
      </c>
      <c r="I90" s="15">
        <f t="shared" si="3"/>
        <v>9</v>
      </c>
      <c r="J90" s="14"/>
      <c r="K90" s="10" t="s">
        <v>199</v>
      </c>
      <c r="L90" s="14" t="s">
        <v>201</v>
      </c>
    </row>
    <row r="91" spans="1:12" ht="112" x14ac:dyDescent="0.35">
      <c r="A91" s="14" t="s">
        <v>184</v>
      </c>
      <c r="B91" s="14" t="s">
        <v>185</v>
      </c>
      <c r="C91" s="14" t="s">
        <v>186</v>
      </c>
      <c r="D91" s="14" t="s">
        <v>191</v>
      </c>
      <c r="E91" s="15">
        <v>2</v>
      </c>
      <c r="F91" s="15">
        <v>7.5</v>
      </c>
      <c r="G91" s="15">
        <f t="shared" si="2"/>
        <v>9.5</v>
      </c>
      <c r="H91" s="15">
        <v>10</v>
      </c>
      <c r="I91" s="15">
        <f t="shared" si="3"/>
        <v>10</v>
      </c>
      <c r="J91" s="14"/>
      <c r="K91" s="10" t="s">
        <v>203</v>
      </c>
      <c r="L91" s="14" t="s">
        <v>201</v>
      </c>
    </row>
    <row r="92" spans="1:12" ht="70" x14ac:dyDescent="0.35">
      <c r="A92" s="14" t="s">
        <v>188</v>
      </c>
      <c r="B92" s="14" t="s">
        <v>189</v>
      </c>
      <c r="C92" s="14" t="s">
        <v>68</v>
      </c>
      <c r="D92" s="14" t="s">
        <v>191</v>
      </c>
      <c r="E92" s="15">
        <v>2</v>
      </c>
      <c r="F92" s="15">
        <v>8</v>
      </c>
      <c r="G92" s="15">
        <f t="shared" si="2"/>
        <v>10</v>
      </c>
      <c r="H92" s="15">
        <v>8.5</v>
      </c>
      <c r="I92" s="15">
        <f t="shared" si="3"/>
        <v>9</v>
      </c>
      <c r="J92" s="14"/>
      <c r="K92" s="10" t="s">
        <v>199</v>
      </c>
      <c r="L92" s="14" t="s">
        <v>201</v>
      </c>
    </row>
  </sheetData>
  <pageMargins left="0.7" right="0.7" top="0.75" bottom="0.75" header="0.3" footer="0.3"/>
  <pageSetup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Tiếng việt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khang le</cp:lastModifiedBy>
  <dcterms:created xsi:type="dcterms:W3CDTF">2018-06-22T04:43:25Z</dcterms:created>
  <dcterms:modified xsi:type="dcterms:W3CDTF">2026-05-27T16:00:59Z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